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8_{08DBD82E-587E-42E1-89EB-5DAEBCE9ACBC}" xr6:coauthVersionLast="47" xr6:coauthVersionMax="47" xr10:uidLastSave="{00000000-0000-0000-0000-000000000000}"/>
  <bookViews>
    <workbookView xWindow="-110" yWindow="-110" windowWidth="19420" windowHeight="10300" xr2:uid="{00000000-000D-0000-FFFF-FFFF00000000}"/>
  </bookViews>
  <sheets>
    <sheet name="KH đã lắp đặt" sheetId="5" r:id="rId1"/>
  </sheets>
  <definedNames>
    <definedName name="_xlnm._FilterDatabase" localSheetId="0" hidden="1">'KH đã lắp đặt'!$A$286:$A$288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21" i="5" l="1" a="1"/>
  <c r="J321" i="5" s="1"/>
  <c r="H321" i="5"/>
  <c r="I321" i="5" s="1"/>
  <c r="J320" i="5" a="1"/>
  <c r="J320" i="5" s="1"/>
  <c r="I320" i="5"/>
  <c r="G320" i="5"/>
  <c r="F320" i="5"/>
  <c r="J319" i="5" a="1"/>
  <c r="J319" i="5" s="1"/>
  <c r="G319" i="5"/>
  <c r="H319" i="5" s="1"/>
  <c r="I319" i="5" s="1"/>
  <c r="J318" i="5" a="1"/>
  <c r="J318" i="5" s="1"/>
  <c r="I318" i="5"/>
  <c r="H318" i="5"/>
  <c r="G318" i="5"/>
  <c r="J317" i="5"/>
  <c r="J317" i="5" a="1"/>
  <c r="G317" i="5"/>
  <c r="H317" i="5" s="1"/>
  <c r="I317" i="5" s="1"/>
  <c r="J316" i="5"/>
  <c r="J316" i="5" a="1"/>
  <c r="H316" i="5"/>
  <c r="I316" i="5" s="1"/>
  <c r="J315" i="5" a="1"/>
  <c r="J315" i="5" s="1"/>
  <c r="H315" i="5"/>
  <c r="I315" i="5" s="1"/>
  <c r="J314" i="5" a="1"/>
  <c r="J314" i="5" s="1"/>
  <c r="I314" i="5"/>
  <c r="G314" i="5"/>
  <c r="J313" i="5" a="1"/>
  <c r="J313" i="5" s="1"/>
  <c r="I313" i="5"/>
  <c r="H313" i="5"/>
  <c r="G313" i="5"/>
  <c r="J312" i="5" a="1"/>
  <c r="J312" i="5" s="1"/>
  <c r="I312" i="5"/>
  <c r="J311" i="5" a="1"/>
  <c r="J311" i="5" s="1"/>
  <c r="I311" i="5"/>
  <c r="G311" i="5"/>
  <c r="J310" i="5"/>
  <c r="J310" i="5" a="1"/>
  <c r="I310" i="5"/>
  <c r="G310" i="5"/>
  <c r="J309" i="5" a="1"/>
  <c r="J309" i="5" s="1"/>
  <c r="I309" i="5"/>
  <c r="J308" i="5"/>
  <c r="J308" i="5" a="1"/>
  <c r="I308" i="5"/>
  <c r="J307" i="5" a="1"/>
  <c r="J307" i="5" s="1"/>
  <c r="I307" i="5"/>
  <c r="G307" i="5"/>
  <c r="J306" i="5" a="1"/>
  <c r="J306" i="5" s="1"/>
  <c r="I306" i="5"/>
  <c r="J305" i="5"/>
  <c r="J305" i="5" a="1"/>
  <c r="I305" i="5"/>
  <c r="G305" i="5"/>
  <c r="J304" i="5" a="1"/>
  <c r="J304" i="5" s="1"/>
  <c r="I304" i="5"/>
  <c r="G304" i="5"/>
  <c r="J303" i="5" a="1"/>
  <c r="J303" i="5" s="1"/>
  <c r="G303" i="5"/>
  <c r="H303" i="5" s="1"/>
  <c r="I303" i="5" s="1"/>
  <c r="J302" i="5" a="1"/>
  <c r="J302" i="5" s="1"/>
  <c r="G302" i="5"/>
  <c r="H302" i="5" s="1"/>
  <c r="I302" i="5" s="1"/>
  <c r="J301" i="5"/>
  <c r="J301" i="5" a="1"/>
  <c r="I301" i="5"/>
  <c r="F301" i="5"/>
  <c r="G301" i="5" s="1"/>
  <c r="J300" i="5" a="1"/>
  <c r="J300" i="5" s="1"/>
  <c r="H300" i="5"/>
  <c r="I300" i="5" s="1"/>
  <c r="J299" i="5" a="1"/>
  <c r="J299" i="5" s="1"/>
  <c r="H299" i="5"/>
  <c r="I299" i="5" s="1"/>
  <c r="J298" i="5"/>
  <c r="J298" i="5" a="1"/>
  <c r="H298" i="5"/>
  <c r="I298" i="5" s="1"/>
  <c r="J297" i="5" a="1"/>
  <c r="J297" i="5" s="1"/>
  <c r="H297" i="5"/>
  <c r="I297" i="5" s="1"/>
  <c r="J296" i="5" a="1"/>
  <c r="J296" i="5" s="1"/>
  <c r="H296" i="5"/>
  <c r="I296" i="5" s="1"/>
  <c r="J295" i="5" a="1"/>
  <c r="J295" i="5" s="1"/>
  <c r="H295" i="5"/>
  <c r="I295" i="5" s="1"/>
  <c r="G295" i="5"/>
  <c r="J294" i="5" a="1"/>
  <c r="J294" i="5" s="1"/>
  <c r="I294" i="5"/>
  <c r="F294" i="5"/>
  <c r="G294" i="5" s="1"/>
  <c r="J293" i="5" a="1"/>
  <c r="J293" i="5" s="1"/>
  <c r="G293" i="5"/>
  <c r="H293" i="5" s="1"/>
  <c r="I293" i="5" s="1"/>
  <c r="J292" i="5"/>
  <c r="J292" i="5" a="1"/>
  <c r="G292" i="5"/>
  <c r="H292" i="5" s="1"/>
  <c r="I292" i="5" s="1"/>
  <c r="J291" i="5" a="1"/>
  <c r="J291" i="5" s="1"/>
  <c r="H291" i="5"/>
  <c r="I291" i="5" s="1"/>
  <c r="G291" i="5"/>
  <c r="J290" i="5" a="1"/>
  <c r="J290" i="5" s="1"/>
  <c r="I290" i="5"/>
  <c r="H290" i="5"/>
  <c r="J289" i="5" a="1"/>
  <c r="J289" i="5" s="1"/>
  <c r="I289" i="5"/>
  <c r="H289" i="5"/>
  <c r="J288" i="5" a="1"/>
  <c r="J288" i="5" s="1"/>
  <c r="I288" i="5"/>
  <c r="J287" i="5" a="1"/>
  <c r="J287" i="5" s="1"/>
  <c r="I287" i="5"/>
  <c r="J286" i="5" a="1"/>
  <c r="J286" i="5" s="1"/>
  <c r="I286" i="5"/>
  <c r="J285" i="5" a="1"/>
  <c r="J285" i="5" s="1"/>
  <c r="I285" i="5"/>
  <c r="G285" i="5"/>
  <c r="J284" i="5" a="1"/>
  <c r="J284" i="5" s="1"/>
  <c r="I284" i="5"/>
  <c r="G284" i="5"/>
  <c r="J283" i="5" a="1"/>
  <c r="J283" i="5" s="1"/>
  <c r="I283" i="5"/>
  <c r="G283" i="5"/>
  <c r="J282" i="5" a="1"/>
  <c r="J282" i="5" s="1"/>
  <c r="I282" i="5"/>
  <c r="G282" i="5"/>
  <c r="J281" i="5" a="1"/>
  <c r="J281" i="5" s="1"/>
  <c r="I281" i="5"/>
  <c r="H281" i="5"/>
  <c r="J280" i="5" a="1"/>
  <c r="J280" i="5" s="1"/>
  <c r="H280" i="5"/>
  <c r="I280" i="5" s="1"/>
  <c r="J279" i="5" a="1"/>
  <c r="J279" i="5" s="1"/>
  <c r="I279" i="5"/>
  <c r="F279" i="5"/>
  <c r="G279" i="5" s="1"/>
  <c r="J278" i="5"/>
  <c r="J278" i="5" a="1"/>
  <c r="I278" i="5"/>
  <c r="J277" i="5" a="1"/>
  <c r="J277" i="5" s="1"/>
  <c r="I277" i="5"/>
  <c r="G277" i="5"/>
  <c r="J276" i="5" a="1"/>
  <c r="J276" i="5" s="1"/>
  <c r="G276" i="5"/>
  <c r="H276" i="5" s="1"/>
  <c r="I276" i="5" s="1"/>
  <c r="J275" i="5"/>
  <c r="J275" i="5" a="1"/>
  <c r="G275" i="5"/>
  <c r="H275" i="5" s="1"/>
  <c r="I275" i="5" s="1"/>
  <c r="J274" i="5" a="1"/>
  <c r="J274" i="5" s="1"/>
  <c r="H274" i="5"/>
  <c r="I274" i="5" s="1"/>
  <c r="G274" i="5"/>
  <c r="J273" i="5" a="1"/>
  <c r="J273" i="5" s="1"/>
  <c r="G273" i="5"/>
  <c r="H273" i="5" s="1"/>
  <c r="I273" i="5" s="1"/>
  <c r="J272" i="5" a="1"/>
  <c r="J272" i="5" s="1"/>
  <c r="G272" i="5"/>
  <c r="H272" i="5" s="1"/>
  <c r="I272" i="5" s="1"/>
  <c r="J271" i="5" a="1"/>
  <c r="J271" i="5" s="1"/>
  <c r="G271" i="5"/>
  <c r="H271" i="5" s="1"/>
  <c r="I271" i="5" s="1"/>
  <c r="J270" i="5"/>
  <c r="J270" i="5" a="1"/>
  <c r="I270" i="5"/>
  <c r="J269" i="5"/>
  <c r="J269" i="5" a="1"/>
  <c r="I269" i="5"/>
  <c r="G269" i="5"/>
  <c r="J268" i="5" a="1"/>
  <c r="J268" i="5" s="1"/>
  <c r="I268" i="5"/>
  <c r="J267" i="5" a="1"/>
  <c r="J267" i="5" s="1"/>
  <c r="I267" i="5"/>
  <c r="J266" i="5" a="1"/>
  <c r="J266" i="5" s="1"/>
  <c r="I266" i="5"/>
  <c r="J265" i="5"/>
  <c r="J265" i="5" a="1"/>
  <c r="I265" i="5"/>
  <c r="J264" i="5" a="1"/>
  <c r="J264" i="5" s="1"/>
  <c r="I264" i="5"/>
  <c r="J263" i="5" a="1"/>
  <c r="J263" i="5" s="1"/>
  <c r="I263" i="5"/>
  <c r="F263" i="5"/>
  <c r="G263" i="5" s="1"/>
  <c r="J262" i="5" a="1"/>
  <c r="J262" i="5" s="1"/>
  <c r="I262" i="5"/>
  <c r="J261" i="5" a="1"/>
  <c r="J261" i="5" s="1"/>
  <c r="I261" i="5"/>
  <c r="G261" i="5"/>
  <c r="J260" i="5" a="1"/>
  <c r="J260" i="5" s="1"/>
  <c r="I260" i="5"/>
  <c r="J259" i="5" a="1"/>
  <c r="J259" i="5" s="1"/>
  <c r="I259" i="5"/>
  <c r="J258" i="5" a="1"/>
  <c r="J258" i="5" s="1"/>
  <c r="I258" i="5"/>
  <c r="G258" i="5"/>
  <c r="J257" i="5" a="1"/>
  <c r="J257" i="5" s="1"/>
  <c r="I257" i="5"/>
  <c r="J256" i="5" a="1"/>
  <c r="J256" i="5" s="1"/>
  <c r="I256" i="5"/>
  <c r="J255" i="5" a="1"/>
  <c r="J255" i="5" s="1"/>
  <c r="I255" i="5"/>
  <c r="J254" i="5" a="1"/>
  <c r="J254" i="5" s="1"/>
  <c r="I254" i="5"/>
  <c r="J253" i="5" a="1"/>
  <c r="J253" i="5" s="1"/>
  <c r="I253" i="5"/>
  <c r="G253" i="5"/>
  <c r="J252" i="5" a="1"/>
  <c r="J252" i="5" s="1"/>
  <c r="I252" i="5"/>
  <c r="G252" i="5"/>
  <c r="J251" i="5" a="1"/>
  <c r="J251" i="5" s="1"/>
  <c r="I251" i="5"/>
  <c r="J250" i="5"/>
  <c r="J250" i="5" a="1"/>
  <c r="I250" i="5"/>
  <c r="G250" i="5"/>
  <c r="J249" i="5"/>
  <c r="J249" i="5" a="1"/>
  <c r="I249" i="5"/>
  <c r="G249" i="5"/>
  <c r="J248" i="5"/>
  <c r="J248" i="5" a="1"/>
  <c r="I248" i="5"/>
  <c r="J247" i="5" a="1"/>
  <c r="J247" i="5" s="1"/>
  <c r="I247" i="5"/>
  <c r="H247" i="5"/>
  <c r="G247" i="5"/>
  <c r="J246" i="5" a="1"/>
  <c r="J246" i="5" s="1"/>
  <c r="I246" i="5"/>
  <c r="G246" i="5"/>
  <c r="H246" i="5" s="1"/>
  <c r="J245" i="5" a="1"/>
  <c r="J245" i="5" s="1"/>
  <c r="I245" i="5"/>
  <c r="F245" i="5"/>
  <c r="G245" i="5" s="1"/>
  <c r="H245" i="5" s="1"/>
  <c r="J244" i="5" a="1"/>
  <c r="J244" i="5" s="1"/>
  <c r="I244" i="5"/>
  <c r="H244" i="5"/>
  <c r="G244" i="5"/>
  <c r="J243" i="5" a="1"/>
  <c r="J243" i="5" s="1"/>
  <c r="G243" i="5"/>
  <c r="H243" i="5" s="1"/>
  <c r="I243" i="5" s="1"/>
  <c r="J242" i="5" a="1"/>
  <c r="J242" i="5" s="1"/>
  <c r="H242" i="5"/>
  <c r="I242" i="5" s="1"/>
  <c r="J241" i="5" a="1"/>
  <c r="J241" i="5" s="1"/>
  <c r="H241" i="5"/>
  <c r="I241" i="5" s="1"/>
  <c r="G241" i="5"/>
  <c r="J240" i="5"/>
  <c r="J240" i="5" a="1"/>
  <c r="G240" i="5"/>
  <c r="H240" i="5" s="1"/>
  <c r="I240" i="5" s="1"/>
  <c r="J239" i="5" a="1"/>
  <c r="J239" i="5" s="1"/>
  <c r="I239" i="5"/>
  <c r="H239" i="5"/>
  <c r="G239" i="5"/>
  <c r="J238" i="5" a="1"/>
  <c r="J238" i="5" s="1"/>
  <c r="G238" i="5"/>
  <c r="H238" i="5" s="1"/>
  <c r="I238" i="5" s="1"/>
  <c r="J237" i="5" a="1"/>
  <c r="J237" i="5" s="1"/>
  <c r="H237" i="5"/>
  <c r="I237" i="5" s="1"/>
  <c r="J236" i="5" a="1"/>
  <c r="J236" i="5" s="1"/>
  <c r="I236" i="5"/>
  <c r="J235" i="5" a="1"/>
  <c r="J235" i="5" s="1"/>
  <c r="I235" i="5"/>
  <c r="J234" i="5" a="1"/>
  <c r="J234" i="5" s="1"/>
  <c r="I234" i="5"/>
  <c r="J233" i="5"/>
  <c r="J233" i="5" a="1"/>
  <c r="I233" i="5"/>
  <c r="J232" i="5" a="1"/>
  <c r="J232" i="5" s="1"/>
  <c r="I232" i="5"/>
  <c r="J231" i="5" a="1"/>
  <c r="J231" i="5" s="1"/>
  <c r="I231" i="5"/>
  <c r="G231" i="5"/>
  <c r="J230" i="5"/>
  <c r="J230" i="5" a="1"/>
  <c r="I230" i="5"/>
  <c r="G230" i="5"/>
  <c r="J229" i="5" a="1"/>
  <c r="J229" i="5" s="1"/>
  <c r="I229" i="5"/>
  <c r="J228" i="5" a="1"/>
  <c r="J228" i="5" s="1"/>
  <c r="I228" i="5"/>
  <c r="J227" i="5" a="1"/>
  <c r="J227" i="5" s="1"/>
  <c r="I227" i="5"/>
  <c r="G227" i="5"/>
  <c r="J226" i="5" a="1"/>
  <c r="J226" i="5" s="1"/>
  <c r="I226" i="5"/>
  <c r="G226" i="5"/>
  <c r="J225" i="5" a="1"/>
  <c r="J225" i="5" s="1"/>
  <c r="I225" i="5"/>
  <c r="J224" i="5" a="1"/>
  <c r="J224" i="5" s="1"/>
  <c r="I224" i="5"/>
  <c r="G224" i="5"/>
  <c r="J223" i="5" a="1"/>
  <c r="J223" i="5" s="1"/>
  <c r="I223" i="5"/>
  <c r="G223" i="5"/>
  <c r="J222" i="5" a="1"/>
  <c r="J222" i="5" s="1"/>
  <c r="I222" i="5"/>
  <c r="G222" i="5"/>
  <c r="J221" i="5" a="1"/>
  <c r="J221" i="5" s="1"/>
  <c r="I221" i="5"/>
  <c r="J220" i="5" a="1"/>
  <c r="J220" i="5" s="1"/>
  <c r="I220" i="5"/>
  <c r="J219" i="5" a="1"/>
  <c r="J219" i="5" s="1"/>
  <c r="I219" i="5"/>
  <c r="G219" i="5"/>
  <c r="J218" i="5" a="1"/>
  <c r="J218" i="5" s="1"/>
  <c r="I218" i="5"/>
  <c r="G218" i="5"/>
  <c r="J217" i="5"/>
  <c r="J217" i="5" a="1"/>
  <c r="I217" i="5"/>
  <c r="G217" i="5"/>
  <c r="J216" i="5" a="1"/>
  <c r="J216" i="5" s="1"/>
  <c r="I216" i="5"/>
  <c r="G216" i="5"/>
  <c r="J215" i="5" a="1"/>
  <c r="J215" i="5" s="1"/>
  <c r="I215" i="5"/>
  <c r="G215" i="5"/>
  <c r="J214" i="5" a="1"/>
  <c r="J214" i="5" s="1"/>
  <c r="I214" i="5"/>
  <c r="J213" i="5" a="1"/>
  <c r="J213" i="5" s="1"/>
  <c r="I213" i="5"/>
  <c r="H213" i="5"/>
  <c r="J212" i="5" a="1"/>
  <c r="J212" i="5" s="1"/>
  <c r="I212" i="5"/>
  <c r="G212" i="5"/>
  <c r="J211" i="5" a="1"/>
  <c r="J211" i="5" s="1"/>
  <c r="I211" i="5"/>
  <c r="G211" i="5"/>
  <c r="J210" i="5" a="1"/>
  <c r="J210" i="5" s="1"/>
  <c r="I210" i="5"/>
  <c r="G210" i="5"/>
  <c r="J209" i="5" a="1"/>
  <c r="J209" i="5" s="1"/>
  <c r="I209" i="5"/>
  <c r="J208" i="5" a="1"/>
  <c r="J208" i="5" s="1"/>
  <c r="I208" i="5"/>
  <c r="G208" i="5"/>
  <c r="J207" i="5" a="1"/>
  <c r="J207" i="5" s="1"/>
  <c r="I207" i="5"/>
  <c r="H207" i="5"/>
  <c r="J206" i="5" a="1"/>
  <c r="J206" i="5" s="1"/>
  <c r="G206" i="5"/>
  <c r="H206" i="5" s="1"/>
  <c r="I206" i="5" s="1"/>
  <c r="J205" i="5"/>
  <c r="J205" i="5" a="1"/>
  <c r="I205" i="5"/>
  <c r="H205" i="5"/>
  <c r="J204" i="5"/>
  <c r="J204" i="5" a="1"/>
  <c r="G204" i="5"/>
  <c r="H204" i="5" s="1"/>
  <c r="I204" i="5" s="1"/>
  <c r="J203" i="5" a="1"/>
  <c r="J203" i="5" s="1"/>
  <c r="H203" i="5"/>
  <c r="I203" i="5" s="1"/>
  <c r="G203" i="5"/>
  <c r="J202" i="5" a="1"/>
  <c r="J202" i="5" s="1"/>
  <c r="I202" i="5"/>
  <c r="H202" i="5"/>
  <c r="G202" i="5"/>
  <c r="G201" i="5"/>
  <c r="F201" i="5"/>
  <c r="J201" i="5" s="1" a="1"/>
  <c r="J201" i="5" s="1"/>
  <c r="J200" i="5" a="1"/>
  <c r="J200" i="5" s="1"/>
  <c r="H200" i="5"/>
  <c r="I200" i="5" s="1"/>
  <c r="G200" i="5"/>
  <c r="J199" i="5" a="1"/>
  <c r="J199" i="5" s="1"/>
  <c r="I199" i="5"/>
  <c r="H199" i="5"/>
  <c r="G199" i="5"/>
  <c r="J198" i="5" a="1"/>
  <c r="J198" i="5" s="1"/>
  <c r="G198" i="5"/>
  <c r="H198" i="5" s="1"/>
  <c r="I198" i="5" s="1"/>
  <c r="J197" i="5" a="1"/>
  <c r="J197" i="5" s="1"/>
  <c r="G197" i="5"/>
  <c r="H197" i="5" s="1"/>
  <c r="I197" i="5" s="1"/>
  <c r="J196" i="5" a="1"/>
  <c r="J196" i="5" s="1"/>
  <c r="H196" i="5"/>
  <c r="I196" i="5" s="1"/>
  <c r="G196" i="5"/>
  <c r="J195" i="5" a="1"/>
  <c r="J195" i="5" s="1"/>
  <c r="G195" i="5"/>
  <c r="H195" i="5" s="1"/>
  <c r="I195" i="5" s="1"/>
  <c r="J194" i="5" a="1"/>
  <c r="J194" i="5" s="1"/>
  <c r="I194" i="5"/>
  <c r="H194" i="5"/>
  <c r="G194" i="5"/>
  <c r="J193" i="5"/>
  <c r="J193" i="5" a="1"/>
  <c r="G193" i="5"/>
  <c r="H193" i="5" s="1"/>
  <c r="I193" i="5" s="1"/>
  <c r="J192" i="5" a="1"/>
  <c r="J192" i="5" s="1"/>
  <c r="H192" i="5"/>
  <c r="I192" i="5" s="1"/>
  <c r="J191" i="5" a="1"/>
  <c r="J191" i="5" s="1"/>
  <c r="I191" i="5"/>
  <c r="G191" i="5"/>
  <c r="J190" i="5" a="1"/>
  <c r="J190" i="5" s="1"/>
  <c r="H190" i="5"/>
  <c r="I190" i="5" s="1"/>
  <c r="G190" i="5"/>
  <c r="J189" i="5" a="1"/>
  <c r="J189" i="5" s="1"/>
  <c r="I189" i="5"/>
  <c r="H189" i="5"/>
  <c r="G189" i="5"/>
  <c r="J188" i="5" a="1"/>
  <c r="J188" i="5" s="1"/>
  <c r="G188" i="5"/>
  <c r="H188" i="5" s="1"/>
  <c r="I188" i="5" s="1"/>
  <c r="J187" i="5" a="1"/>
  <c r="J187" i="5" s="1"/>
  <c r="G187" i="5"/>
  <c r="H187" i="5" s="1"/>
  <c r="I187" i="5" s="1"/>
  <c r="J186" i="5" a="1"/>
  <c r="J186" i="5" s="1"/>
  <c r="H186" i="5"/>
  <c r="I186" i="5" s="1"/>
  <c r="G186" i="5"/>
  <c r="J185" i="5" a="1"/>
  <c r="J185" i="5" s="1"/>
  <c r="G185" i="5"/>
  <c r="H185" i="5" s="1"/>
  <c r="I185" i="5" s="1"/>
  <c r="J184" i="5" a="1"/>
  <c r="J184" i="5" s="1"/>
  <c r="I184" i="5"/>
  <c r="H184" i="5"/>
  <c r="G184" i="5"/>
  <c r="J183" i="5"/>
  <c r="J183" i="5" a="1"/>
  <c r="G183" i="5"/>
  <c r="H183" i="5" s="1"/>
  <c r="I183" i="5" s="1"/>
  <c r="F182" i="5"/>
  <c r="F236" i="5" s="1"/>
  <c r="G236" i="5" s="1"/>
  <c r="J181" i="5" a="1"/>
  <c r="J181" i="5" s="1"/>
  <c r="I181" i="5"/>
  <c r="H181" i="5"/>
  <c r="J180" i="5" a="1"/>
  <c r="J180" i="5" s="1"/>
  <c r="H180" i="5"/>
  <c r="I180" i="5" s="1"/>
  <c r="J179" i="5" a="1"/>
  <c r="J179" i="5" s="1"/>
  <c r="I179" i="5"/>
  <c r="H179" i="5"/>
  <c r="J178" i="5" a="1"/>
  <c r="J178" i="5" s="1"/>
  <c r="H178" i="5"/>
  <c r="I178" i="5" s="1"/>
  <c r="J177" i="5" a="1"/>
  <c r="J177" i="5" s="1"/>
  <c r="I177" i="5"/>
  <c r="H177" i="5"/>
  <c r="J176" i="5" a="1"/>
  <c r="J176" i="5" s="1"/>
  <c r="H176" i="5"/>
  <c r="I176" i="5" s="1"/>
  <c r="J175" i="5" a="1"/>
  <c r="J175" i="5" s="1"/>
  <c r="I175" i="5"/>
  <c r="H175" i="5"/>
  <c r="J174" i="5" a="1"/>
  <c r="J174" i="5" s="1"/>
  <c r="H174" i="5"/>
  <c r="I174" i="5" s="1"/>
  <c r="J173" i="5" a="1"/>
  <c r="J173" i="5" s="1"/>
  <c r="I173" i="5"/>
  <c r="H173" i="5"/>
  <c r="J172" i="5" a="1"/>
  <c r="J172" i="5" s="1"/>
  <c r="H172" i="5"/>
  <c r="I172" i="5" s="1"/>
  <c r="J171" i="5" a="1"/>
  <c r="J171" i="5" s="1"/>
  <c r="I171" i="5"/>
  <c r="H171" i="5"/>
  <c r="G171" i="5"/>
  <c r="J170" i="5" a="1"/>
  <c r="J170" i="5" s="1"/>
  <c r="I170" i="5"/>
  <c r="G170" i="5"/>
  <c r="H170" i="5" s="1"/>
  <c r="F170" i="5"/>
  <c r="J169" i="5"/>
  <c r="J169" i="5" a="1"/>
  <c r="G169" i="5"/>
  <c r="H169" i="5" s="1"/>
  <c r="I169" i="5" s="1"/>
  <c r="J168" i="5" a="1"/>
  <c r="J168" i="5" s="1"/>
  <c r="I168" i="5"/>
  <c r="H168" i="5"/>
  <c r="J167" i="5" a="1"/>
  <c r="J167" i="5" s="1"/>
  <c r="G167" i="5"/>
  <c r="H167" i="5" s="1"/>
  <c r="I167" i="5" s="1"/>
  <c r="J166" i="5"/>
  <c r="J166" i="5" a="1"/>
  <c r="G166" i="5"/>
  <c r="H166" i="5" s="1"/>
  <c r="I166" i="5" s="1"/>
  <c r="J165" i="5" a="1"/>
  <c r="J165" i="5" s="1"/>
  <c r="H165" i="5"/>
  <c r="I165" i="5" s="1"/>
  <c r="G165" i="5"/>
  <c r="J164" i="5"/>
  <c r="J164" i="5" a="1"/>
  <c r="G164" i="5"/>
  <c r="H164" i="5" s="1"/>
  <c r="I164" i="5" s="1"/>
  <c r="J163" i="5" a="1"/>
  <c r="J163" i="5" s="1"/>
  <c r="I163" i="5"/>
  <c r="H163" i="5"/>
  <c r="G163" i="5"/>
  <c r="J162" i="5" a="1"/>
  <c r="J162" i="5" s="1"/>
  <c r="G162" i="5"/>
  <c r="H162" i="5" s="1"/>
  <c r="I162" i="5" s="1"/>
  <c r="J161" i="5" a="1"/>
  <c r="J161" i="5" s="1"/>
  <c r="H161" i="5"/>
  <c r="I161" i="5" s="1"/>
  <c r="G161" i="5"/>
  <c r="J160" i="5" a="1"/>
  <c r="J160" i="5" s="1"/>
  <c r="I160" i="5"/>
  <c r="G160" i="5"/>
  <c r="F160" i="5"/>
  <c r="J159" i="5" a="1"/>
  <c r="J159" i="5" s="1"/>
  <c r="I159" i="5"/>
  <c r="G159" i="5"/>
  <c r="J158" i="5" a="1"/>
  <c r="J158" i="5" s="1"/>
  <c r="I158" i="5"/>
  <c r="J157" i="5" a="1"/>
  <c r="J157" i="5" s="1"/>
  <c r="I157" i="5"/>
  <c r="J156" i="5" a="1"/>
  <c r="J156" i="5" s="1"/>
  <c r="I156" i="5"/>
  <c r="G156" i="5"/>
  <c r="J155" i="5" a="1"/>
  <c r="J155" i="5" s="1"/>
  <c r="I155" i="5"/>
  <c r="J154" i="5"/>
  <c r="J154" i="5" a="1"/>
  <c r="I154" i="5"/>
  <c r="J153" i="5" a="1"/>
  <c r="J153" i="5" s="1"/>
  <c r="I153" i="5"/>
  <c r="G153" i="5"/>
  <c r="J152" i="5" a="1"/>
  <c r="J152" i="5" s="1"/>
  <c r="I152" i="5"/>
  <c r="J151" i="5" a="1"/>
  <c r="J151" i="5" s="1"/>
  <c r="I151" i="5"/>
  <c r="J150" i="5" a="1"/>
  <c r="J150" i="5" s="1"/>
  <c r="I150" i="5"/>
  <c r="J149" i="5" a="1"/>
  <c r="J149" i="5" s="1"/>
  <c r="I149" i="5"/>
  <c r="G149" i="5"/>
  <c r="J148" i="5" a="1"/>
  <c r="J148" i="5" s="1"/>
  <c r="I148" i="5"/>
  <c r="G148" i="5"/>
  <c r="J147" i="5" a="1"/>
  <c r="J147" i="5" s="1"/>
  <c r="I147" i="5"/>
  <c r="G147" i="5"/>
  <c r="J146" i="5" a="1"/>
  <c r="J146" i="5" s="1"/>
  <c r="I146" i="5"/>
  <c r="G146" i="5"/>
  <c r="J145" i="5" a="1"/>
  <c r="J145" i="5" s="1"/>
  <c r="I145" i="5"/>
  <c r="J144" i="5" a="1"/>
  <c r="J144" i="5" s="1"/>
  <c r="I144" i="5"/>
  <c r="J143" i="5"/>
  <c r="J143" i="5" a="1"/>
  <c r="I143" i="5"/>
  <c r="J142" i="5" a="1"/>
  <c r="J142" i="5" s="1"/>
  <c r="I142" i="5"/>
  <c r="G142" i="5"/>
  <c r="J141" i="5" a="1"/>
  <c r="J141" i="5" s="1"/>
  <c r="I141" i="5"/>
  <c r="G141" i="5"/>
  <c r="J140" i="5" a="1"/>
  <c r="J140" i="5" s="1"/>
  <c r="I140" i="5"/>
  <c r="G140" i="5"/>
  <c r="J139" i="5"/>
  <c r="J139" i="5" a="1"/>
  <c r="I139" i="5"/>
  <c r="J138" i="5" a="1"/>
  <c r="J138" i="5" s="1"/>
  <c r="G138" i="5"/>
  <c r="H138" i="5" s="1"/>
  <c r="I138" i="5" s="1"/>
  <c r="J137" i="5"/>
  <c r="J137" i="5" a="1"/>
  <c r="H137" i="5"/>
  <c r="I137" i="5" s="1"/>
  <c r="J136" i="5" a="1"/>
  <c r="J136" i="5" s="1"/>
  <c r="I136" i="5"/>
  <c r="J135" i="5" a="1"/>
  <c r="J135" i="5" s="1"/>
  <c r="I135" i="5"/>
  <c r="J134" i="5" a="1"/>
  <c r="J134" i="5" s="1"/>
  <c r="H134" i="5"/>
  <c r="I134" i="5" s="1"/>
  <c r="J133" i="5" a="1"/>
  <c r="J133" i="5" s="1"/>
  <c r="I133" i="5"/>
  <c r="F133" i="5"/>
  <c r="J132" i="5" a="1"/>
  <c r="J132" i="5" s="1"/>
  <c r="I132" i="5"/>
  <c r="J131" i="5" a="1"/>
  <c r="J131" i="5" s="1"/>
  <c r="I131" i="5"/>
  <c r="H131" i="5"/>
  <c r="J130" i="5"/>
  <c r="J130" i="5" a="1"/>
  <c r="I130" i="5"/>
  <c r="H130" i="5"/>
  <c r="J129" i="5" a="1"/>
  <c r="J129" i="5" s="1"/>
  <c r="I129" i="5"/>
  <c r="H129" i="5"/>
  <c r="J128" i="5" a="1"/>
  <c r="J128" i="5" s="1"/>
  <c r="I128" i="5"/>
  <c r="G128" i="5"/>
  <c r="J127" i="5" a="1"/>
  <c r="J127" i="5" s="1"/>
  <c r="I127" i="5"/>
  <c r="J126" i="5" a="1"/>
  <c r="J126" i="5" s="1"/>
  <c r="I126" i="5"/>
  <c r="J125" i="5" a="1"/>
  <c r="J125" i="5" s="1"/>
  <c r="I125" i="5"/>
  <c r="H125" i="5"/>
  <c r="G125" i="5"/>
  <c r="J124" i="5"/>
  <c r="J124" i="5" a="1"/>
  <c r="I124" i="5"/>
  <c r="J123" i="5" a="1"/>
  <c r="J123" i="5" s="1"/>
  <c r="I123" i="5"/>
  <c r="G123" i="5"/>
  <c r="J122" i="5" a="1"/>
  <c r="J122" i="5" s="1"/>
  <c r="I122" i="5"/>
  <c r="G122" i="5"/>
  <c r="J121" i="5" a="1"/>
  <c r="J121" i="5" s="1"/>
  <c r="I121" i="5"/>
  <c r="G121" i="5"/>
  <c r="I120" i="5"/>
  <c r="F120" i="5"/>
  <c r="F127" i="5" s="1"/>
  <c r="J119" i="5"/>
  <c r="J119" i="5" a="1"/>
  <c r="I119" i="5"/>
  <c r="J118" i="5" a="1"/>
  <c r="J118" i="5" s="1"/>
  <c r="I118" i="5"/>
  <c r="G118" i="5"/>
  <c r="J117" i="5" a="1"/>
  <c r="J117" i="5" s="1"/>
  <c r="I117" i="5"/>
  <c r="H117" i="5"/>
  <c r="J116" i="5" a="1"/>
  <c r="J116" i="5" s="1"/>
  <c r="I116" i="5"/>
  <c r="J115" i="5" a="1"/>
  <c r="J115" i="5" s="1"/>
  <c r="I115" i="5"/>
  <c r="G115" i="5"/>
  <c r="J114" i="5"/>
  <c r="J114" i="5" a="1"/>
  <c r="I114" i="5"/>
  <c r="G114" i="5"/>
  <c r="J113" i="5" a="1"/>
  <c r="J113" i="5" s="1"/>
  <c r="I113" i="5"/>
  <c r="G113" i="5"/>
  <c r="J112" i="5" a="1"/>
  <c r="J112" i="5" s="1"/>
  <c r="I112" i="5"/>
  <c r="J111" i="5" a="1"/>
  <c r="J111" i="5" s="1"/>
  <c r="I111" i="5"/>
  <c r="J110" i="5"/>
  <c r="J110" i="5" a="1"/>
  <c r="I110" i="5"/>
  <c r="G110" i="5"/>
  <c r="J109" i="5"/>
  <c r="J109" i="5" a="1"/>
  <c r="I109" i="5"/>
  <c r="G109" i="5"/>
  <c r="J108" i="5"/>
  <c r="J108" i="5" a="1"/>
  <c r="I108" i="5"/>
  <c r="G108" i="5"/>
  <c r="J107" i="5"/>
  <c r="J107" i="5" a="1"/>
  <c r="I107" i="5"/>
  <c r="G107" i="5"/>
  <c r="J106" i="5"/>
  <c r="J106" i="5" a="1"/>
  <c r="I106" i="5"/>
  <c r="G106" i="5"/>
  <c r="J105" i="5"/>
  <c r="J105" i="5" a="1"/>
  <c r="I105" i="5"/>
  <c r="G105" i="5"/>
  <c r="J104" i="5"/>
  <c r="J104" i="5" a="1"/>
  <c r="I104" i="5"/>
  <c r="H104" i="5"/>
  <c r="J103" i="5"/>
  <c r="J103" i="5" a="1"/>
  <c r="H103" i="5"/>
  <c r="I103" i="5" s="1"/>
  <c r="J102" i="5" a="1"/>
  <c r="J102" i="5" s="1"/>
  <c r="I102" i="5"/>
  <c r="H102" i="5"/>
  <c r="J101" i="5" a="1"/>
  <c r="J101" i="5" s="1"/>
  <c r="H101" i="5"/>
  <c r="I101" i="5" s="1"/>
  <c r="J100" i="5" a="1"/>
  <c r="J100" i="5" s="1"/>
  <c r="I100" i="5"/>
  <c r="H100" i="5"/>
  <c r="J99" i="5"/>
  <c r="J99" i="5" a="1"/>
  <c r="I99" i="5"/>
  <c r="J98" i="5" a="1"/>
  <c r="J98" i="5" s="1"/>
  <c r="I98" i="5"/>
  <c r="H98" i="5"/>
  <c r="J97" i="5" a="1"/>
  <c r="J97" i="5" s="1"/>
  <c r="I97" i="5"/>
  <c r="G97" i="5"/>
  <c r="J96" i="5" a="1"/>
  <c r="J96" i="5" s="1"/>
  <c r="I96" i="5"/>
  <c r="G96" i="5"/>
  <c r="J95" i="5" a="1"/>
  <c r="J95" i="5" s="1"/>
  <c r="I95" i="5"/>
  <c r="G95" i="5"/>
  <c r="J94" i="5" a="1"/>
  <c r="J94" i="5" s="1"/>
  <c r="I94" i="5"/>
  <c r="J93" i="5" a="1"/>
  <c r="J93" i="5" s="1"/>
  <c r="I93" i="5"/>
  <c r="J92" i="5" a="1"/>
  <c r="J92" i="5" s="1"/>
  <c r="H92" i="5"/>
  <c r="I92" i="5" s="1"/>
  <c r="G92" i="5"/>
  <c r="J91" i="5" a="1"/>
  <c r="J91" i="5" s="1"/>
  <c r="I91" i="5"/>
  <c r="G91" i="5"/>
  <c r="J90" i="5" a="1"/>
  <c r="J90" i="5" s="1"/>
  <c r="I90" i="5"/>
  <c r="J89" i="5" a="1"/>
  <c r="J89" i="5" s="1"/>
  <c r="I89" i="5"/>
  <c r="J88" i="5"/>
  <c r="J88" i="5" a="1"/>
  <c r="I88" i="5"/>
  <c r="J87" i="5" a="1"/>
  <c r="J87" i="5" s="1"/>
  <c r="I87" i="5"/>
  <c r="J86" i="5" a="1"/>
  <c r="J86" i="5" s="1"/>
  <c r="I86" i="5"/>
  <c r="J85" i="5" a="1"/>
  <c r="J85" i="5" s="1"/>
  <c r="I85" i="5"/>
  <c r="J84" i="5" a="1"/>
  <c r="J84" i="5" s="1"/>
  <c r="I84" i="5"/>
  <c r="J83" i="5" a="1"/>
  <c r="J83" i="5" s="1"/>
  <c r="I83" i="5"/>
  <c r="G83" i="5"/>
  <c r="J82" i="5" a="1"/>
  <c r="J82" i="5" s="1"/>
  <c r="I82" i="5"/>
  <c r="G82" i="5"/>
  <c r="J81" i="5" a="1"/>
  <c r="J81" i="5" s="1"/>
  <c r="I81" i="5"/>
  <c r="H81" i="5"/>
  <c r="J80" i="5" a="1"/>
  <c r="J80" i="5" s="1"/>
  <c r="I80" i="5"/>
  <c r="G80" i="5"/>
  <c r="J79" i="5" a="1"/>
  <c r="J79" i="5" s="1"/>
  <c r="I79" i="5"/>
  <c r="G79" i="5"/>
  <c r="J78" i="5" a="1"/>
  <c r="J78" i="5" s="1"/>
  <c r="I78" i="5"/>
  <c r="F78" i="5"/>
  <c r="G78" i="5" s="1"/>
  <c r="J77" i="5" a="1"/>
  <c r="J77" i="5" s="1"/>
  <c r="I77" i="5"/>
  <c r="G77" i="5"/>
  <c r="J76" i="5"/>
  <c r="J76" i="5" a="1"/>
  <c r="I76" i="5"/>
  <c r="G76" i="5"/>
  <c r="J75" i="5" a="1"/>
  <c r="J75" i="5" s="1"/>
  <c r="I75" i="5"/>
  <c r="G75" i="5"/>
  <c r="J74" i="5"/>
  <c r="J74" i="5" a="1"/>
  <c r="I74" i="5"/>
  <c r="G74" i="5"/>
  <c r="J73" i="5" a="1"/>
  <c r="J73" i="5" s="1"/>
  <c r="I73" i="5"/>
  <c r="J72" i="5" a="1"/>
  <c r="J72" i="5" s="1"/>
  <c r="I72" i="5"/>
  <c r="J71" i="5" a="1"/>
  <c r="J71" i="5" s="1"/>
  <c r="I71" i="5"/>
  <c r="J70" i="5"/>
  <c r="J70" i="5" a="1"/>
  <c r="I70" i="5"/>
  <c r="J69" i="5" a="1"/>
  <c r="J69" i="5" s="1"/>
  <c r="I69" i="5"/>
  <c r="J68" i="5" a="1"/>
  <c r="J68" i="5" s="1"/>
  <c r="I68" i="5"/>
  <c r="J67" i="5" a="1"/>
  <c r="J67" i="5" s="1"/>
  <c r="I67" i="5"/>
  <c r="G67" i="5"/>
  <c r="J66" i="5" a="1"/>
  <c r="J66" i="5" s="1"/>
  <c r="I66" i="5"/>
  <c r="J65" i="5" a="1"/>
  <c r="J65" i="5" s="1"/>
  <c r="I65" i="5"/>
  <c r="G65" i="5"/>
  <c r="I64" i="5"/>
  <c r="F64" i="5"/>
  <c r="J64" i="5" s="1" a="1"/>
  <c r="J64" i="5" s="1"/>
  <c r="J63" i="5" a="1"/>
  <c r="J63" i="5" s="1"/>
  <c r="I63" i="5"/>
  <c r="G63" i="5"/>
  <c r="J62" i="5" a="1"/>
  <c r="J62" i="5" s="1"/>
  <c r="I62" i="5"/>
  <c r="G62" i="5"/>
  <c r="J61" i="5" a="1"/>
  <c r="J61" i="5" s="1"/>
  <c r="I61" i="5"/>
  <c r="J60" i="5"/>
  <c r="J60" i="5" a="1"/>
  <c r="I60" i="5"/>
  <c r="G60" i="5"/>
  <c r="J59" i="5"/>
  <c r="J59" i="5" a="1"/>
  <c r="H59" i="5"/>
  <c r="I59" i="5" s="1"/>
  <c r="J58" i="5" a="1"/>
  <c r="J58" i="5" s="1"/>
  <c r="I58" i="5"/>
  <c r="J57" i="5" a="1"/>
  <c r="J57" i="5" s="1"/>
  <c r="I57" i="5"/>
  <c r="J56" i="5" a="1"/>
  <c r="J56" i="5" s="1"/>
  <c r="I56" i="5"/>
  <c r="G56" i="5"/>
  <c r="J55" i="5" a="1"/>
  <c r="J55" i="5" s="1"/>
  <c r="I55" i="5"/>
  <c r="J54" i="5" a="1"/>
  <c r="J54" i="5" s="1"/>
  <c r="I54" i="5"/>
  <c r="J53" i="5"/>
  <c r="J53" i="5" a="1"/>
  <c r="I53" i="5"/>
  <c r="J52" i="5" a="1"/>
  <c r="J52" i="5" s="1"/>
  <c r="I52" i="5"/>
  <c r="J51" i="5" a="1"/>
  <c r="J51" i="5" s="1"/>
  <c r="I51" i="5"/>
  <c r="J50" i="5" a="1"/>
  <c r="J50" i="5" s="1"/>
  <c r="I50" i="5"/>
  <c r="J49" i="5" a="1"/>
  <c r="J49" i="5" s="1"/>
  <c r="I49" i="5"/>
  <c r="J48" i="5" a="1"/>
  <c r="J48" i="5" s="1"/>
  <c r="I48" i="5"/>
  <c r="J47" i="5" a="1"/>
  <c r="J47" i="5" s="1"/>
  <c r="I47" i="5"/>
  <c r="G47" i="5"/>
  <c r="J46" i="5" a="1"/>
  <c r="J46" i="5" s="1"/>
  <c r="I46" i="5"/>
  <c r="G46" i="5"/>
  <c r="J45" i="5" a="1"/>
  <c r="J45" i="5" s="1"/>
  <c r="I45" i="5"/>
  <c r="J44" i="5" a="1"/>
  <c r="J44" i="5" s="1"/>
  <c r="I44" i="5"/>
  <c r="G44" i="5"/>
  <c r="J43" i="5" a="1"/>
  <c r="J43" i="5" s="1"/>
  <c r="I43" i="5"/>
  <c r="J42" i="5"/>
  <c r="J42" i="5" a="1"/>
  <c r="I42" i="5"/>
  <c r="J41" i="5" a="1"/>
  <c r="J41" i="5" s="1"/>
  <c r="I41" i="5"/>
  <c r="J40" i="5" a="1"/>
  <c r="J40" i="5" s="1"/>
  <c r="I40" i="5"/>
  <c r="J39" i="5" a="1"/>
  <c r="J39" i="5" s="1"/>
  <c r="I39" i="5"/>
  <c r="J38" i="5"/>
  <c r="J38" i="5" a="1"/>
  <c r="I38" i="5"/>
  <c r="G38" i="5"/>
  <c r="J37" i="5" a="1"/>
  <c r="J37" i="5" s="1"/>
  <c r="I37" i="5"/>
  <c r="G37" i="5"/>
  <c r="J36" i="5"/>
  <c r="J36" i="5" a="1"/>
  <c r="I36" i="5"/>
  <c r="G36" i="5"/>
  <c r="J35" i="5" a="1"/>
  <c r="J35" i="5" s="1"/>
  <c r="I35" i="5"/>
  <c r="G35" i="5"/>
  <c r="J34" i="5"/>
  <c r="J34" i="5" a="1"/>
  <c r="I34" i="5"/>
  <c r="G34" i="5"/>
  <c r="J33" i="5" a="1"/>
  <c r="J33" i="5" s="1"/>
  <c r="I33" i="5"/>
  <c r="J32" i="5" a="1"/>
  <c r="J32" i="5" s="1"/>
  <c r="I32" i="5"/>
  <c r="J31" i="5" a="1"/>
  <c r="J31" i="5" s="1"/>
  <c r="I31" i="5"/>
  <c r="G31" i="5"/>
  <c r="J30" i="5" a="1"/>
  <c r="J30" i="5" s="1"/>
  <c r="I30" i="5"/>
  <c r="G30" i="5"/>
  <c r="J29" i="5" a="1"/>
  <c r="J29" i="5" s="1"/>
  <c r="I29" i="5"/>
  <c r="G29" i="5"/>
  <c r="J28" i="5" a="1"/>
  <c r="J28" i="5" s="1"/>
  <c r="I28" i="5"/>
  <c r="J27" i="5" a="1"/>
  <c r="J27" i="5" s="1"/>
  <c r="I27" i="5"/>
  <c r="J26" i="5" a="1"/>
  <c r="J26" i="5" s="1"/>
  <c r="I26" i="5"/>
  <c r="G26" i="5"/>
  <c r="J25" i="5" a="1"/>
  <c r="J25" i="5" s="1"/>
  <c r="I25" i="5"/>
  <c r="G25" i="5"/>
  <c r="J24" i="5" a="1"/>
  <c r="J24" i="5" s="1"/>
  <c r="I24" i="5"/>
  <c r="G24" i="5"/>
  <c r="J23" i="5" a="1"/>
  <c r="J23" i="5" s="1"/>
  <c r="I23" i="5"/>
  <c r="G23" i="5"/>
  <c r="I22" i="5"/>
  <c r="F22" i="5"/>
  <c r="G22" i="5" s="1"/>
  <c r="J21" i="5" a="1"/>
  <c r="J21" i="5" s="1"/>
  <c r="I21" i="5"/>
  <c r="G21" i="5"/>
  <c r="J20" i="5" a="1"/>
  <c r="J20" i="5" s="1"/>
  <c r="I20" i="5"/>
  <c r="G20" i="5"/>
  <c r="J19" i="5" a="1"/>
  <c r="J19" i="5" s="1"/>
  <c r="I19" i="5"/>
  <c r="G19" i="5"/>
  <c r="J18" i="5" a="1"/>
  <c r="J18" i="5" s="1"/>
  <c r="I18" i="5"/>
  <c r="G18" i="5"/>
  <c r="J17" i="5" a="1"/>
  <c r="J17" i="5" s="1"/>
  <c r="I17" i="5"/>
  <c r="J16" i="5" a="1"/>
  <c r="J16" i="5" s="1"/>
  <c r="I16" i="5"/>
  <c r="G16" i="5"/>
  <c r="J15" i="5"/>
  <c r="J15" i="5" a="1"/>
  <c r="I15" i="5"/>
  <c r="G15" i="5"/>
  <c r="I14" i="5"/>
  <c r="F14" i="5"/>
  <c r="G14" i="5" s="1"/>
  <c r="J13" i="5"/>
  <c r="J13" i="5" a="1"/>
  <c r="I13" i="5"/>
  <c r="J12" i="5" a="1"/>
  <c r="J12" i="5" s="1"/>
  <c r="I12" i="5"/>
  <c r="G12" i="5"/>
  <c r="J11" i="5" a="1"/>
  <c r="J11" i="5" s="1"/>
  <c r="I11" i="5"/>
  <c r="G11" i="5"/>
  <c r="J10" i="5" a="1"/>
  <c r="J10" i="5" s="1"/>
  <c r="I10" i="5"/>
  <c r="J9" i="5" a="1"/>
  <c r="J9" i="5" s="1"/>
  <c r="I9" i="5"/>
  <c r="J8" i="5"/>
  <c r="J8" i="5" a="1"/>
  <c r="I8" i="5"/>
  <c r="J7" i="5" a="1"/>
  <c r="J7" i="5" s="1"/>
  <c r="I7" i="5"/>
  <c r="J6" i="5" a="1"/>
  <c r="J6" i="5" s="1"/>
  <c r="I6" i="5"/>
  <c r="J5" i="5" a="1"/>
  <c r="J5" i="5" s="1"/>
  <c r="I5" i="5"/>
  <c r="G5" i="5"/>
  <c r="J4" i="5" a="1"/>
  <c r="J4" i="5" s="1"/>
  <c r="I4" i="5"/>
  <c r="G4" i="5"/>
  <c r="I3" i="5"/>
  <c r="F3" i="5"/>
  <c r="J3" i="5" s="1" a="1"/>
  <c r="J3" i="5" s="1"/>
  <c r="J2" i="5" a="1"/>
  <c r="J2" i="5" s="1"/>
  <c r="I2" i="5"/>
  <c r="G2" i="5"/>
  <c r="G127" i="5" l="1"/>
  <c r="H128" i="5"/>
  <c r="G3" i="5"/>
  <c r="G120" i="5"/>
  <c r="H201" i="5"/>
  <c r="I201" i="5" s="1"/>
  <c r="J14" i="5" a="1"/>
  <c r="J14" i="5" s="1"/>
  <c r="J22" i="5" a="1"/>
  <c r="J22" i="5" s="1"/>
  <c r="G182" i="5"/>
  <c r="H182" i="5" s="1"/>
  <c r="I182" i="5" s="1"/>
  <c r="J120" i="5" a="1"/>
  <c r="J120" i="5" s="1"/>
  <c r="J182" i="5" a="1"/>
  <c r="J18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<sst xmlns="http://schemas.openxmlformats.org/spreadsheetml/2006/main" count="1726" uniqueCount="486">
  <si>
    <t>Phụ Trách</t>
  </si>
  <si>
    <t>Nguồn</t>
  </si>
  <si>
    <t>Danh Mục</t>
  </si>
  <si>
    <t>Cơ Hội</t>
  </si>
  <si>
    <t>Trạng thái</t>
  </si>
  <si>
    <t>Ghi chú</t>
  </si>
  <si>
    <t>Vân</t>
  </si>
  <si>
    <t>Tháng 1</t>
  </si>
  <si>
    <t>MKT</t>
  </si>
  <si>
    <t>phân phốiTrường Phúc
4 tấm pin Astro 585w Tổng: 6.552.000đ</t>
  </si>
  <si>
    <t xml:space="preserve">2/1 đã thanh toán tk công ty </t>
  </si>
  <si>
    <t>anh Tự lắp Sơn 
6 tấm astro 585 + INVT 3kw + Phụ kiện
Tổng giá trị : 22.192.000đ</t>
  </si>
  <si>
    <t>5/1đặt cọc 1 triệu TK Công ty 
6/1 thanh toán 21.192.000đ TK Công Ty</t>
  </si>
  <si>
    <t>phân phốianh Lực
10 tấm 590w + valley 16kw : 52.635.000đ</t>
  </si>
  <si>
    <t>5/1 đã thanh toán đủ</t>
  </si>
  <si>
    <t>anh Dũng đối tác
14 tấm Astro 620w Tổng : 23.870.000dd</t>
  </si>
  <si>
    <t>9/1 Thanh toán đủ TK CTY</t>
  </si>
  <si>
    <t>anh Lộc 
17 tấm 585 + XD6 + Valley 16kw : 
Tổng giá trị : 125.000.000đ</t>
  </si>
  <si>
    <t>đã đặt cọc 5 triệu TK Công ty 
ngày 11/1/2026
thanh toán 120 triệu ngày 16/1</t>
  </si>
  <si>
    <t>anh Hoài
6 tấm 620w+ SVE6kw +Phụ Kiện 
Tổng giá trị : 31.907.000đ</t>
  </si>
  <si>
    <t xml:space="preserve">đã đặt cọc 1 triệu 11/1/2026
12/1 lấy hàng
đã thanh toán đủ : 12/1 Tk Công ty </t>
  </si>
  <si>
    <t>anh Vương
36 tấm 620 + 2 XD10 + 2 Valley 16kw+ Phụ Kiện ,
 Tổng tiền hàng : 212.689.900đ
( Thuê nhân công Mình 17.310.100đ)</t>
  </si>
  <si>
    <t xml:space="preserve">đã đặt cọc 200 triệu 
đã thanh toán 30 triệu </t>
  </si>
  <si>
    <t>DAT</t>
  </si>
  <si>
    <t>Chị Phương Quận 2
hệ 12 tấm 615w + Solax 10kw 
Tổng: 98.800.000đ</t>
  </si>
  <si>
    <t>12/1 đạt cọc 5 triệu 
13/1 Thợ qua đi Dây âm</t>
  </si>
  <si>
    <t>Đối tác anh Lực 
1 SVE 6kw
Tổng; 12.000.0000đ</t>
  </si>
  <si>
    <t>Thanh toán ngày 13/1 Tk Công Ty</t>
  </si>
  <si>
    <t>khách hàng tự lắp anh Toàn : Cần Thơ 
12 tấm 585 + INVT 10kw 1 pha + Phụ Kiện : 
Tổng: 44.266.900đ</t>
  </si>
  <si>
    <t xml:space="preserve">Thanh toán ngày 16/1 TK Công Ty 
</t>
  </si>
  <si>
    <t xml:space="preserve">anh Đô
hệ 21 tấm 590+ Trip 12kw + Valley 16kwh
tổng : 170.000.0000đ
chiết khấu: 3.000.000đ </t>
  </si>
  <si>
    <t>Đã cọc 85.000.000đ ngày 20/1
thanh toán : 85 triệu ngày 26/1 thanh toán đủ</t>
  </si>
  <si>
    <t>anh Nam ( Vũng tàu)
hệ 33 tấm 590w+ Trip 15kw + 3 SVE 16.6kwh
Tổng: 222.676.000đ</t>
  </si>
  <si>
    <t>đặt cọc : 23/1 Đặt cọc qua công ty 44 triệu 
đã thanh toán : 178.676.000đ Chuyển Tk công ty : đã thanh toán đủ</t>
  </si>
  <si>
    <t>anh Lực phân phối
2 bình vl14 : 69.000.000đ
+ 1 SNA 6 Pro 14.500.000đ</t>
  </si>
  <si>
    <t>đã thanh toán : 24/1 Thanh toán công ty : 
69.000.000đ</t>
  </si>
  <si>
    <t>anh Hoan
10 Tấm 585w + gen26+phụ kiện
Tổng:41.977.000đ</t>
  </si>
  <si>
    <t>đã thanh toán Tk Chị Tuyền
ngày 27/1 : 41.977.500đ</t>
  </si>
  <si>
    <t>Đối tác : Phúc Khang 
8 tấm 585, Tổng: 14.040.000đ</t>
  </si>
  <si>
    <t xml:space="preserve">31/01 đã thanh toán tài khoản công ty </t>
  </si>
  <si>
    <t>anh Đô Nâng cấp thêm 8 tấm pin 590w + Phụ Kiện
Tổng: 22,973,880</t>
  </si>
  <si>
    <t>đã lắp ngày: 03/02/2026
thanh toán ngày 4/2</t>
  </si>
  <si>
    <t>My</t>
  </si>
  <si>
    <t>Chú Thắng - Vũng Tàu
Bộ 10 Astro 590 + Snapro6.5+sve16.6
Tổng: 97.000.000</t>
  </si>
  <si>
    <t>đặt cọc ngày 29/1: 27 triệu
Thanh toán đợt 2: 35tr ngày 25/2</t>
  </si>
  <si>
    <t>Cô Hạnh - Củ Chi
Bộ: 6 Astro 590 + snapro 6.5 +1 bình Pylontech 5.12kw
Tổng: 65.000.000</t>
  </si>
  <si>
    <t>Đặt cọc ngày 26/1: 10 triệu
55tr còn lại giải ngân với Shinhan</t>
  </si>
  <si>
    <t>Chị Lý Quế Phương
Bộ : 10 Longi 640+ sungrow6+ uf5000đ 
Tổng: 104.877.680đ</t>
  </si>
  <si>
    <t xml:space="preserve">đặt cọc ngày 21/1: 11 triệu 
thanh toán đợt 1/2 ngày 23/1 
: 84.489.912đ
Thanh toán  đợt 3 ngày 29/1  9.387.768 </t>
  </si>
  <si>
    <t>Anh Thanh</t>
  </si>
  <si>
    <t>A Cường chung cư Tecco 65 Linh Đông
hệ 14 tấm 590 + xd6 + VL16 
tổng 129.000.000 đ</t>
  </si>
  <si>
    <t>11/1 ck 2 lần 10tr 
21/1 ck 99tr
5/2 ck 10tr</t>
  </si>
  <si>
    <t>A Lê văn phát 
hệ 5,3kwp 9 tấm 590 , SVE 6 , chưa lưu trữ
tổng 52.500.000
phát sinh 3tr456 dây AC</t>
  </si>
  <si>
    <t>14/1 ck 15tr750 
24/1 tiền mặt 3tr456 phát sinh ac
25/1 tiền mặt 35tr806</t>
  </si>
  <si>
    <t>a HUY lấy vật tư phụ tổng 6tr200</t>
  </si>
  <si>
    <t>tiền mặt</t>
  </si>
  <si>
    <t>a Toàn 178 QL1A tam bình
hệ 19 tấm 590 , XD10 , vl16 
tổng 154.800.000 trích hh 3tr</t>
  </si>
  <si>
    <t>ck 22/1 5tr
ck 28/1 50tr
ck 31/1 50tr</t>
  </si>
  <si>
    <t xml:space="preserve">CS Lê Giang nâng cấp 50 tấm 585
tổng 155tr </t>
  </si>
  <si>
    <t>ck 25/1 5tr
ck 150tr 16/3
chưa rửa pin</t>
  </si>
  <si>
    <t>A Nhân bình phước khách cũ lắp thêm 2 hệ bơm 2,2 kw 
tổng 56tr</t>
  </si>
  <si>
    <t>ck 30/1 6tr
4/2 50tr tm</t>
  </si>
  <si>
    <t>Ngọc Bình</t>
  </si>
  <si>
    <t>Chú Đảm - Biên Hòa 
Hệ 10 tấm 6,2kWp lưu trữ 16.6kWh
tổng 93tr
Cọc 5 tr tiền mặt anh Tùng nhận đưa chị Linh
Thanh toán 85 tr tiền mặt 12/1 Bình nhận đưa chị Linh
3tr 5 năm sau thanh toán</t>
  </si>
  <si>
    <t>Chị Nhi
Hệ 3.96kWp lưu trữ 14.3kWh tuwj lắp 84tr
CK tk công ty hết</t>
  </si>
  <si>
    <t>Đỗ Văn Mạnh - Khu phố đông B, Phường Đông Hoà
Hệ 5kWp lưu trữ 16kWh khung sắt
Tổng 116tr
Ck 25/01 tk công ty 5 triệu</t>
  </si>
  <si>
    <t>Huỳnh Quốc Trang - Tây Ninh
Hệ 7kWp lưu trữ 16kWh mái tôn
Tổng 113tr
Ck  26/01 tk công ty 5 triệu</t>
  </si>
  <si>
    <t>Công ty Kim Ngân tự lắp 585 + GEN26+ HINAESS
Tổng 93.263.200</t>
  </si>
  <si>
    <t>Thùy Dương</t>
  </si>
  <si>
    <t>Anh Phúc - Xuân Lộc 2 lưu trữ SVE + 1 biến tần SVE</t>
  </si>
  <si>
    <t>Anh Tuấn - Bình Phước - 3 Snapro</t>
  </si>
  <si>
    <t>Kim Riên</t>
  </si>
  <si>
    <t>Anh Đinh Quang Nam - Bến Cát Bình Dương
Hệ 6.2kWp - Lưu 16.6kWh</t>
  </si>
  <si>
    <t xml:space="preserve">Chú Trịnh Mạnh Hùng - Trảng Bơm - Đồng Nai
Hệ 3.51kWp </t>
  </si>
  <si>
    <t>Tháng 2</t>
  </si>
  <si>
    <t>a Long dĩ an hệ tự lắp 8 tấm 585 + snapro 
tổng 32tr500</t>
  </si>
  <si>
    <t>cọc tm 2tr5 3/2
5/2 6tr ck , 22,5tr tm
ck 1tr5</t>
  </si>
  <si>
    <t xml:space="preserve">a Tuấn xưởng 16 võ văn vân , hệ 75kwp
tổng 480tr </t>
  </si>
  <si>
    <t>cọc 10tr 14/2</t>
  </si>
  <si>
    <t>anh lộc Đồng Nai , Tự lắp
Bộ : 9 tấm 590w+ Snapro+sve 16.6kwh
71.231.000đ</t>
  </si>
  <si>
    <t>đặt cọc 5 triệu Tài khoản chị Tuyền ngày 2/2
3/2/2026 Thanh toán : 66.231.000đ tiền mặt</t>
  </si>
  <si>
    <t>đối tác: anh Lực 4/2
Bộ: 1sve6 + Valley 16kwh
Tổng: 50.500.000đ</t>
  </si>
  <si>
    <t xml:space="preserve">khách lấy hàng 03/02/2026
đã thanh toán 4/2 
</t>
  </si>
  <si>
    <t>phân phốianh Phúc Khang
Bộ: 10 tấm 585w
Tổng: 18.720.000đ</t>
  </si>
  <si>
    <t>phân phốiThanh toán ngày; 03/2 Tài khoản công ty</t>
  </si>
  <si>
    <t>đối tác: anh Lực 07/02
Bộ: 1sve6 + Valley 16kwh
Tổng: 50.500.000đ</t>
  </si>
  <si>
    <t>đã lấy hàng 07/02
thanh toán 40 triệu 2/3</t>
  </si>
  <si>
    <t>nâng cấp 1 bình Dyness 5.12kw 
21.500.000đ
anh Khánh khách cũ , Láng le bàu cò</t>
  </si>
  <si>
    <t>đã lắp ngày 06/02
thanh toán ngày 10/2 21.500.000đ</t>
  </si>
  <si>
    <t>anh Đô ( Tô Ngọc Vân , Linh Xuân Thủ Đức .
Bộ: 25 tấm 590+ Trip12 áp thấp + 2 Valley 16kw 
Tổng: 236.618.375đ</t>
  </si>
  <si>
    <t>đã đặt cọc 7/2 vào Tk Công ty 
118,309,118đ
đã thanh toán đủ: ngày 12/2</t>
  </si>
  <si>
    <t>phân phối: Thành Phát
Bộ: INVt 10kw1 pha
tổng : 14.287.320đ</t>
  </si>
  <si>
    <t xml:space="preserve">đã thanh toán xong </t>
  </si>
  <si>
    <t>anh Đô ( Tô Ngọc Vân , Linh Xuân Thủ Đức .
Bộ: 15 tấm + Phụ kiện
Tổng: 65.299.000đ</t>
  </si>
  <si>
    <t>anh Đô ( Nâng cấp Xưởng Nam Dương)
Bộ: 18 tấm + Phụ Kiện 
Tổng:54,439,030đ</t>
  </si>
  <si>
    <t>anh Phúc (Khu phố Phước Hưng, Phường Phú Mỹ)
Bộ: 24 tấm 590+ SNA12 + 1 SVE16.6kw 
Tổng: 127.738.100</t>
  </si>
  <si>
    <t>Đã đặt cọc 6/2 38tr
Đã thanh toán 89.738.100 ngày 7/2</t>
  </si>
  <si>
    <t>Chị Lý Quế Phương
Nâng cấp : 2 bình lưu trữ UF5000</t>
  </si>
  <si>
    <t>Đã thanh toán 35tr400 ngày 25/2</t>
  </si>
  <si>
    <t xml:space="preserve">Anh Thái Tú - Thủ Dầu Một
Bộ: 8 tấm 625+MG5+FB16
Tổng: 105.000.000
</t>
  </si>
  <si>
    <t>Đã đặt cọc 22/2 31tr
Đã thanh toán đợt 1 31tr ngày 24/2
Đã thanh toán đợt 2 38tr700 ngày 24/2
Đã thanh toán đợt 3 4tr300 ngày 24/2</t>
  </si>
  <si>
    <t>Tháng 3</t>
  </si>
  <si>
    <t>Chú Thống 
hệ 8 tấm 590+ SVE6kw +Valley 16kw 
Tổng: 90 triệu - 1,800,000đ  chiết khấu giới thiệu 
tổng 88.200.000đ</t>
  </si>
  <si>
    <t>đã thanh toán trước 70 triệu tiền mặt , còn lại thứ 7 Thanh toán đủ</t>
  </si>
  <si>
    <t>anh Tình Phúc 
hệ 8 tấm 590+ SNAPRO+Valley 5.12kw
Tổng giá trị: 49.309.400đ</t>
  </si>
  <si>
    <t>đã đặt cọc 5 triệu ngày 4/3
12/3 Lấy hàng thanh toán đủ</t>
  </si>
  <si>
    <t>anh : Minh Nhựt
hệ: 9 tấm 625 + SVE6kw +3 binhf UF5000
Tổng giá trị:89.392.500đ</t>
  </si>
  <si>
    <t>đã đặt cọc 5 triệu ngày 5/3
thứ 7 ngày 7/3 lấy hàng</t>
  </si>
  <si>
    <t>khách nâng cấp Nam Dương
Bộ : 1 valley 16kw +nhân công
Tổng: 49.300.000đ</t>
  </si>
  <si>
    <t>đã lắp đặt xong 4/3
thanh toán 13/3</t>
  </si>
  <si>
    <t xml:space="preserve">anh Nam ( Vũng tàu) tự lắp
6 tấm 590+sve16.6kw : tổng: 44.702.500đ
</t>
  </si>
  <si>
    <t>lấy ngày 9/3 thanh toán 9/3</t>
  </si>
  <si>
    <t>anh cao ( Bình Tân)
12 tấm 590+sve6+SVe16.6kwh Tổng: 76.903.000đ</t>
  </si>
  <si>
    <t>đã thanh toán 9/3</t>
  </si>
  <si>
    <t>anh Thông 
18 tấm 625w + SVE 16.6kwh + Phụ kiện 
tổng: 79.168.000đ</t>
  </si>
  <si>
    <t>đặt cọc 3 triệu tiền mặt 9/3
lấy hàng 10/3</t>
  </si>
  <si>
    <t>Chị Yến ( Long AN) ( anh Bảo Giới thiệu)
hệ 9kw lưu trữ 16kwh áp mái
Tổng: 125.914.000đ</t>
  </si>
  <si>
    <t>11/3 cọc 5 triệu 
21/3 lắp đặt
120.914.000đ 27/3</t>
  </si>
  <si>
    <t xml:space="preserve">anh Hoà Đặng ( Thủ Đức) 
10 tấm 590+SNApro ( dổi qua tấm TCL 615)
Tổng: 60.633.000đ
</t>
  </si>
  <si>
    <t>10/3 đặt cọc 5 triệu
cuối tháng snapro về lắp
đặt cọc thêm 1 triệu ngày 11/3</t>
  </si>
  <si>
    <t>phân phốianh Kiên Hà Nội
Công ty : TNHH Đầu tư và Thương Mại Tân Minh Hoàng
1 uf5000: giá 17.500.000đ</t>
  </si>
  <si>
    <t>16/3 thanh toán đủ</t>
  </si>
  <si>
    <t>anh Quang 
hệ: 12 tấm 625+SVE 6kw + Phụ Kiên
Tổng: 44.235.000đ</t>
  </si>
  <si>
    <t>Thứ 5 xê lấy hàng thánh toán 
đủ đã cọc 1 triệu: 17/3
thanh toán : 43.235.000đ ngày 19/3</t>
  </si>
  <si>
    <t>anh Đinh Hong Tu
đặt 1 Gelta 3.6kw 
Tổng: 6.000.000đ</t>
  </si>
  <si>
    <t>thứ 6 giao hàng</t>
  </si>
  <si>
    <t>anh Nam ( Vũng tàu) tự lắp
32 tấm 625+ SNA14 + 4 Bình 16.6kw+ Phụ Kiện
Tổng: 244.161.400đ</t>
  </si>
  <si>
    <t xml:space="preserve">đã thanh toán đủ: 19/3 </t>
  </si>
  <si>
    <t>anh Tuyến ( Khách Cũ )
Bộ: 24 tấm 625 49.500,000đ</t>
  </si>
  <si>
    <t>lấy hàng 19/3
cọc 10 triệu 18/3</t>
  </si>
  <si>
    <t>anh Dũng Đồng Nai
hệ 9 tấm 590+sve6+sve16.6kwh
Tổng: 96.000.000đ</t>
  </si>
  <si>
    <t>thứ 5- thứ 6 lắp đặt
đặt cọc 2 triệu tiền mặt
đã thu tiền mặt 94 triệu đưa chị Thảo</t>
  </si>
  <si>
    <t>Anh Hùng ( công ty Minh anh) Thanh Hoá 
( Khách Lộc GTH)
34 tấm 590w +trip15kw 3 pha áp thấp
Tổng: 
 130.694.800đ</t>
  </si>
  <si>
    <t>23/3 đặt cọc : 84,780,000đ</t>
  </si>
  <si>
    <t>anh Lâm 10 tấm 590w + SVE6 +SVE 16.6kw 
Tổng: 75.524.000đ</t>
  </si>
  <si>
    <t>Cô Huyền ( Tân Bình)
hệ 7 tấm 590w + SVE6 + 2 uf5000
Tổng: 78.000.000đ 
Nâng cấp thêm 1 bình 21.450.000đ</t>
  </si>
  <si>
    <t xml:space="preserve">khách  đặt cọc 23/3
thanh toán xong
 58.000.000đ 31/3 </t>
  </si>
  <si>
    <t xml:space="preserve">anh Việt  Tân Phú ( anh Vũ giới thiệu)
18 tấm 590 + XD10+Valley 16kw 
Tổng: 170.042.000đ 
chiêt khấu 3.400.000đ , Tổng còn : 166.642.000đ
</t>
  </si>
  <si>
    <t>anh Tùng ( anh Hoàng lắp)
hệ 26 tấm 590w+ Bơm 15kw 3 pha 
Tổng : 69.044.000đ</t>
  </si>
  <si>
    <t>đã đặt cọc 5 triệu ngày 26/3
chuyển 54.044.000đ ngày27/3 
chuyển 10 triệu ngày 6/4</t>
  </si>
  <si>
    <t>anh Nam ( phân phốiBình Đinh)
10 tấm 625w: 20.312.500đ</t>
  </si>
  <si>
    <t>thanh toán : 24/03/2026</t>
  </si>
  <si>
    <t>anh Thành ( Công ty tnhh Công Nghệ Môi Trường Hi-ECO)
bộ 12 tấm Aiko 650w + Trip12kw áp thấp : 
Tổng giá trị 105.525.600đ</t>
  </si>
  <si>
    <t>đã đặt cọc 5 triệu ngày 30/3 TK công Ty
đã thanh toán xong 11/4</t>
  </si>
  <si>
    <t>anh Huy Tô ( Công ty IUMIU HOLDINGS)
79 tấm 625+ INVT 50kw 3 pha
Tổng : 395.704.000đ</t>
  </si>
  <si>
    <t>anh Hoàng Huy ( THủ Đức)
10 tấm 625+ Mg5 + Vl14 , Tổng : 113.000.000đ</t>
  </si>
  <si>
    <t>đăt cọc 5 triệu ngày 31/3
đã thanh toán xong ngày 9/6
Tổng 113.000,000đ</t>
  </si>
  <si>
    <r>
      <rPr>
        <sz val="10"/>
        <color theme="1"/>
        <rFont val="Arial"/>
      </rPr>
      <t>Anh Dũng-Đồng Nai
Combo 1: 80.678.100</t>
    </r>
    <r>
      <rPr>
        <b/>
        <sz val="10"/>
        <color theme="1"/>
        <rFont val="Arial"/>
      </rPr>
      <t xml:space="preserve">
</t>
    </r>
    <r>
      <rPr>
        <sz val="10"/>
        <color theme="1"/>
        <rFont val="Arial"/>
      </rPr>
      <t xml:space="preserve">Combo 2: </t>
    </r>
    <r>
      <rPr>
        <b/>
        <sz val="10"/>
        <color theme="1"/>
        <rFont val="Arial"/>
      </rPr>
      <t>80.954.100</t>
    </r>
    <r>
      <rPr>
        <sz val="10"/>
        <color theme="1"/>
        <rFont val="Arial"/>
      </rPr>
      <t xml:space="preserve">
Cọc 10tr tiền mặt ngày 14/3</t>
    </r>
  </si>
  <si>
    <t>phân phối</t>
  </si>
  <si>
    <t>anh Lực ( phân phối) 
Bộ: 30 SVE 6kw
2 valley 16kwh
Tổng: 437.000.000đ</t>
  </si>
  <si>
    <t>đã thanh toán đủ 20/4</t>
  </si>
  <si>
    <t>Anh lương Quang dĩ An hệ 9 tấm 590 , xd6 + VL 16 trả góp 
tổng 104tr</t>
  </si>
  <si>
    <t>14tr tiền mặt 
shinhan 90tr</t>
  </si>
  <si>
    <t>a Nghị TDM1 hệ 9 tấm 590 , sve6 , vl5 tổng 73tr5 , lấy thêm 2 tấm 4tr5tr</t>
  </si>
  <si>
    <t>22/3 cọc 1tr5</t>
  </si>
  <si>
    <t>a Nhàn củ chi hệ 60kwp tổng 405tr</t>
  </si>
  <si>
    <t>19/3 cọc 5tr</t>
  </si>
  <si>
    <t>A Đoàn gò vấp hệ 12 tấm 625 , sg6 + vl14 
tổng 129tr</t>
  </si>
  <si>
    <t>4tr tiền mặt
ck 135tr</t>
  </si>
  <si>
    <t>A hải lắp 11,8kwp bám tải 1p tân bình</t>
  </si>
  <si>
    <t>26/3 cọc 5tr 
chưa lắp</t>
  </si>
  <si>
    <t>a cẩm tuấn nâng cấp thêm tấm pin</t>
  </si>
  <si>
    <t>tm 1/4</t>
  </si>
  <si>
    <t xml:space="preserve">a kiên lấy 1 xd10 </t>
  </si>
  <si>
    <t>29tr5 tiền mặt</t>
  </si>
  <si>
    <t>Chú Toản- Trảng Bom hệ 5kWp lưu trữ 16.6kWh
Tổng 90 triệu
Cọc 5tr ngày 3/3 chuyển khoản
Tt final 85tr ngày 7/3 ck</t>
  </si>
  <si>
    <t>Anh Hồng - Q9 Dương Đình Hội
Tổng 67tr
Cọc 5tr ngày 4/3 chuyển khoản
Ck 60tr ngày 7/3 
ck cty 2tr ngày 1/4</t>
  </si>
  <si>
    <t>Anh Dũng- Q9 muốn vay Shinhan
Tổng 110tr
Cọc 5tr ngày 6/3 chuyển khoản
35tr tk công ty 21/03
70tr Shinhan giải ngân 26/03</t>
  </si>
  <si>
    <t>Anh Khổng Minh Đạt - Q11 khung sắt
Tổng 142tr
Cọc 5tr ngày 9/3 ck
Tiền mặt 137tr ngày 28/03</t>
  </si>
  <si>
    <t>Công ty Hồng Trung Quân - Tân Uyên, Bình Dương
Tổng 125 triệu
Cọc 5tr ngày 9/3 ck
CK 120tr ngày 16/03</t>
  </si>
  <si>
    <t>Anh Lộc - biệt thự Q12
Tổng 116 triệu
Cọc 5tr ngày 10/3 ck
TT đủ 111tr ngày 13/03 ck</t>
  </si>
  <si>
    <t>Công ty Gia Bích (TK Zalo) 
Tổng 138 triệu
Cọc 5tr ngày 11/3 ck
Ck 100tr ngày 31/03 công ty
Ck 33tr ngày 21/04 tk cty</t>
  </si>
  <si>
    <t xml:space="preserve"> Công ty MP FILM
Lưu Huỳnh Lâm
Tổng 350tr
Cọc 10tr tk công ty 18/03
TT tk cty  22/5 340tr</t>
  </si>
  <si>
    <t>Công ty Diễm Huy
Tổng 591tr
Cọc 20tr tk cty 22/3
Shinhan giải ngân 7/4 tk cty 99,9tr.   
TT tk cty 14/4  250tr
TT tk cty 28/04 220tr</t>
  </si>
  <si>
    <t>Anh Tình - Kiên Giang
10 Astro, 1sve6, 1 sve14.3
Tổng 70.742.000</t>
  </si>
  <si>
    <t>Anh Dương - lớp mầm non hạt đậu nhỏ
12 Astro, sve6, sve14.3
75.340.000</t>
  </si>
  <si>
    <t>Anh Ngôn - Hóc Môn 3,75kWp lưu 5kWh
Tổng 63,5tr
Cọc 5tr tk công ty 18/3
Tiền mặt đưa chị Thảo 58,3tr</t>
  </si>
  <si>
    <t>Anh Thái - Củ Chi 7kWp lưu 16kWh
Tổng 105tr
Cọc 3tr tk công ty 18/3
Shinhan giải ngân 90tr 27/3
TT tk cty 12tr ngày 20/04</t>
  </si>
  <si>
    <t>Anh Thái - Q8 7kWp lưu 16kWh khung sắt
Tổng 130tr
Cọc 5tr tk công ty 21/3
Tiền mặt đưa chị Thảo 6/4 110tr      Ngày  10/4 tt 15tr tk cty</t>
  </si>
  <si>
    <t>Chị Tươi ( chồng là Tuấn) anh An Solar Hive gt
Tổng 130tr
Cọc tk cty 5tr 23/03</t>
  </si>
  <si>
    <t>1 tháng sau lắp
Để dành cho khách 16 tấm 585Wp</t>
  </si>
  <si>
    <t>Anh Hưng - Thuận An
Tổng 106tr
Cọc tk công ty 5tr 28/3
Ghé cty tt tiền mặt đưa chị thảo 99tr
2tr ngày 02/06 tiền mặt đưa chị Thảo</t>
  </si>
  <si>
    <r>
      <rPr>
        <sz val="10"/>
        <color theme="1"/>
        <rFont val="Arial"/>
      </rPr>
      <t>Anh Thứ-Q8
Tổng:</t>
    </r>
    <r>
      <rPr>
        <b/>
        <sz val="10"/>
        <color theme="1"/>
        <rFont val="Arial"/>
      </rPr>
      <t xml:space="preserve"> 68.917.300</t>
    </r>
    <r>
      <rPr>
        <sz val="10"/>
        <color theme="1"/>
        <rFont val="Arial"/>
      </rPr>
      <t xml:space="preserve">
Cọc 5tr ngày 10/3</t>
    </r>
  </si>
  <si>
    <t xml:space="preserve">Anh Vũ - Q1
Tổng: 36.608.600
Cọc: 10.982.580
TT Đủ: </t>
  </si>
  <si>
    <t>Khách mua 9 tấm pin và phụ kiện nhưng chỉ lấy 8 tấm pin.
Còn lại 1 tấm khách cho lại KT và đã thanh toán đủ chính tấm.
Kế toán tính hoa hồng cho CTV trừ 1 tấm pin ra.</t>
  </si>
  <si>
    <t xml:space="preserve">Anh Phong - Q9
Tổng: 81.000.0000
Cọc: 5.000.000
TT Đủ: </t>
  </si>
  <si>
    <t>Chị Diễm - Cty Ngon như Ý
TT Cọc: 67.525.550</t>
  </si>
  <si>
    <t>Chú Quang Nhất
TT Cọc: 5.000.000
Hệ : 5.58kWp Lưu 16kWh
Tổng: 96.632.200</t>
  </si>
  <si>
    <t>Tháng 4</t>
  </si>
  <si>
    <t>Anh Nguyễn Đức Tín Quận 4 6,875kWp lưu 16.6kWh
Tổng: 102 triệu
Cọc 5tr 2/4 tk cty
TT tk cty 97tr ngày 17/04</t>
  </si>
  <si>
    <t>Anh Lê Văn Trung - Bình Dương 8,75 kWp; Lưu trữ 16.6kWh ( chị Hồng Châu)
Tổng 113.000.000
Cọc 5 triệu 2/4 tk cty
TT 99tr 10/4 tk cty
TT 9tr 25/04 tk cty</t>
  </si>
  <si>
    <t>Đặng Thị Thu Hà (anh Khoa) - Long An  9.375 kWp lưu trữ 14.3kWh
Tổng 113.000.000
Cọc 5tr tk cty 6/4 
TT  75tr tk cty 5/5
TT 10tr tk cty 7/5
Thanh toán 23tr ngày 11/5</t>
  </si>
  <si>
    <t>Công ty Tùng Quân 99,3kWp hòa lưới, solis 80kW Đồng nai
Tổng 690tr
Cọc 50tr ngày 13/4 tk cty
29/05 tt tk cty 500tr</t>
  </si>
  <si>
    <t>Anh Nguyễn Tiến Dũng 14,375kWp lưu trữ 14,3kWh - Tây ninh
Tổng 174tr
Cọc 5tr ngày 9/4 tk công ty
Tiền mặt 169tr ngày 20/04 đã đưa chị thảo</t>
  </si>
  <si>
    <t>Chú Phạm Hoài Nam 11kWp lưu trữ 28,6kWh - Thủ Đức
Tổng 205 triệu
Cọc 10tr ngày 9/4 tk công ty
TT tk cty 12/5 195tr</t>
  </si>
  <si>
    <t>Anh Quốc Toàn: 5 tấm pin + phụ kiện Thủ Đức
Tổng 16,245,000</t>
  </si>
  <si>
    <t>Thịnh Qúi ghé mua 1 gelta 
Tổng 5,5tr
Tiền mặt đưa chị Thảo 11/04</t>
  </si>
  <si>
    <t>Trần Đoàn Cường - Kiên Giang
Tự lắp 35.875.000
TT 20,3tr tk cty ngày 14/4
TT 15,575,000 tk cty 16/04</t>
  </si>
  <si>
    <t xml:space="preserve">Trịnh Ngọc Hòa - ĐakLak
Tổng đơn 62.834.000
TT tk cty 15/04 62.834.000
</t>
  </si>
  <si>
    <t>Chú Nguyễn Văn Hùng - Gò Vấp
Tổng đơn 81.900.000
TT 5tr  ngày 13/04 tk cty
TT 35tr ngày 14/04 tk cty
TT 41,9tr ngày 15/04 tk cty</t>
  </si>
  <si>
    <t>muốn trọn gói, nhưng vay k đc, chuyển sang tự lắp</t>
  </si>
  <si>
    <t>Ông PHẠM HÀ ĐĂNG KHOA
Địa chỉ : Ấp Quới Thạnh, Phước An, Nhơn Trạch, Đồng Nai.
Tổng đơn : 34.126.000
Tiền mặt ngày 20/04: 30.126.000
Ck 20/04 tk cty: 4.000.000</t>
  </si>
  <si>
    <t>Khách Thân Hữu Trường
Cọc 5 triệu hệ 7,5kWp lưu trữ 16kWh 18/04
Tổng đơn 120.000.000
Tháng 8-9 lắp ạ</t>
  </si>
  <si>
    <t xml:space="preserve">TÔ NGỌC LIÊN
Số 3D Đường ĐT743A, Khu Nhà Ở Phú Hồng Thịnh X, Khu Phố Nội Hóa 
Cọc 5 triệu tiền mặt đưa chị thảo 17/4
Thu tiền mặt đưa chị Thảo 29/04 là 21.412.000
Shinhan giải ngân 100tr
Tổng giá trị: 126.412.000 hệ 7,44kWp lưu trữ 16.6kWh khung sắt
</t>
  </si>
  <si>
    <t>DNTN VẬN TẢI VÀ THI CÔNG CƠ GIỚI HẬU NGHĨA
Địa chỉ : 38/11 ấp 4 Trần Xuân Soạn, Phường Tân Hưng
Kiên Giang
3 tấm Axitec. Tổng 7.631.250</t>
  </si>
  <si>
    <t>Trịnh Ngọc Hòa - ĐakLak
Tổng đơn 45.901.300
TT tk cty 22/04 45.261.300
TT tk cty 25/04 640k</t>
  </si>
  <si>
    <t>Chu Văn Hà
Địa chỉ : 1796/22 Võ Nguyên Giáp, Phường Phước Thắng
CCCD : 038083010842
Tổng: 86,028,000 ck ngày 24/04, đưa tiền mặt chị Thảo 200k</t>
  </si>
  <si>
    <t>HOÀNG TRUNG HIẾU
Tổ 15, Khu Phố 2, thị trấn Trảng Bom, Đồng Nai
Tổng đơn 73.940.000
Thanh toán 20tr ngày 25/04
TT 53.940.000 tk cty 25/04</t>
  </si>
  <si>
    <t>Trụ trì Tịnh Thất Thiên Quang
Ông NGUYỄN MINH TRÍ
408 ấp Phước Vĩnh, xã Rạch Kiến, tỉnh Tây Ninh
Tổng đơn: 121.370.000 (đã trừ phần thi công, bên chùa thi công. Tổng hợp đồng với khách 122.368.000)
Đã thu đủ ngày 29/04 đưa chị thảo</t>
  </si>
  <si>
    <t>Anh Hưng - Thuận An
Lắp thêm 8 tấm pin+ SVE6+ SVE16.6
Tổng 85tr
Tiền mặt 2/06 85tr đã chưa chị Thảo</t>
  </si>
  <si>
    <t>Khách CÁP ĐỖ VĂN THÔNG - Thuận An
Đặt cọc 5 triệu ngày 28/04
TT 12/5 tk cty 45tr
TT 21/5 tk cty 150tr
Hệ 12kWp lưu 32kWh khung sắt
Tổng giá trị: 246.000.000</t>
  </si>
  <si>
    <t>CÔNG TY TNHH ĐIỆN TỬ VIỄN THÔNG THÀNH NAM
Địa chỉ : 448 Thống Nhất, Phường Tam Thắng, Thành phố Hồ Chí Minh
Bình lưu trữ SVE 14,3kWh mua lắp đặt cho khách 33.000.000. ck tk cty 28/04</t>
  </si>
  <si>
    <t>Ngọc Tân</t>
  </si>
  <si>
    <t>Cô Quách Tất Sai - 341/19/18 Khuông Việt, Tân Phú
TT Cọc: 5.000.000
Hệ : 15kWp 2 bình lưu 16kWh
Tổng: 254.467.500 đ</t>
  </si>
  <si>
    <t>Bớt cô số lẻ 467.500 đ</t>
  </si>
  <si>
    <t>Cô Quách Tất Sai - Xưởng ở Củ Chi
TT Cọc: 10.000.000
Hệ : 81kWp, Solax 60kw, Lưu 100kwh
Tổng: 1.080.000.000 đ</t>
  </si>
  <si>
    <t>Anh Trần Hoài Thanh - Long An cũ
TT Cọc: 5.000.000
Hệ: 6.2kwp, SnaPro 6.5kw, fb16
Tổng: 112.500.000 đ (trừ 400k tiền dây và cọc TE)</t>
  </si>
  <si>
    <t>Trừ 150k tiền cọc tiếp địa + 250k tiền dây TE</t>
  </si>
  <si>
    <t>Anh Ngô Hải Đăng - Bù Đăng, Bình Phước
TT Cọc: 5.000.000
Hệ bơm
Tổng: 126.394.000 đ</t>
  </si>
  <si>
    <t>Cô Nguyễn Thị Thanh Hương - P.Phú Lợi, HCM
TT Cọc: 5.000.000
Hệ : 6.2kWp 1 bình lưu 16kWh, Biến tần L12
Tổng: 162.951.000 đ + 6.549.000 đ</t>
  </si>
  <si>
    <t>KH của An SolarHive</t>
  </si>
  <si>
    <t>Anh Bùi Đăng Huy Đức - 69 Lam Sơn, HCM
TT Cọc: 5.000.000
Hệ : 7.44kWp 1 bình lưu 16kWh, Biến tần MG6
Tổng: 142.346.300 đ</t>
  </si>
  <si>
    <t>KH của chị Hoài Thanh, trừ anh Đức 2 triệu tiền dây AC 4x10 không sử dụng tới.</t>
  </si>
  <si>
    <t>Anh Mỹ - 21/2 Đ.26, P.An Khánh, HCM
Đối tác mua về thi công cho KH
4 tấm Astro + phụ kiện
Tổng: 9.688.800 đ</t>
  </si>
  <si>
    <t>Anh Ngô Hải Đăng - Bù Đăng, Bình Phước
Hệ bơm
Tổng: 49.072.000 đ</t>
  </si>
  <si>
    <t xml:space="preserve">anh Huy Tô ( Công ty IUMIU HOLDINGS) hệ lắp ở Kho Hàng
24 tấm TCL + 1 Solax 12kw 3 pha + 2 Bình Solax 16kw áp mái
Tổng: 261.832.500đ
</t>
  </si>
  <si>
    <t>đã cọc 10 triệu ngày 2/4 
tài khoản chị Thảo</t>
  </si>
  <si>
    <t xml:space="preserve">anh ĐẶNG NGỌC THIỆN ( Bình Thạnh) ( chú Mỹ)
CCCD: 054075008107
Bộ : 25 tấm Aiko 650+ Trip12kw 3 pha áp thấp + 2 Fb16kw 
Tổng: 311.895.000đ
</t>
  </si>
  <si>
    <t>23/06/2026 Chú Mỹ Thanh Toán</t>
  </si>
  <si>
    <t xml:space="preserve">anh Bùi văn Quy ( Bàu Bàng) Bình Dương
CCCD: 066097019770
hệ : 7 tấm 620 + 1 SVe 6kw + 1 SVE 16.6kwh
Tổng: 87.100.000đ 
khách lắp thêm 1 tấm pin </t>
  </si>
  <si>
    <t xml:space="preserve">đã đặt cọc 2 triệu tiền mặt thứ 7 Thi Công 
đã thanh toán xong
</t>
  </si>
  <si>
    <t xml:space="preserve">anh Thông ( Thủ Dầu 1)
Hệ 6 tấm+ Gelta 3.6kw+ 1 MC4 ( dây xuất tháng 3) 19.193.500đ
hệ 8 tấm TCL 615 + 1 SNApro , Phụ Kiện Dây Điện : 37.667.000đ
Tổng đơn : 56,860,500
200 mét dây 4.080.000đ Còn: 1.080.000đ
</t>
  </si>
  <si>
    <t>trừ 3 triệu trước
 cọc cho Đức 
đưa chị Thảo</t>
  </si>
  <si>
    <t>Anh Trí ( Bình Phước)
Hệ 14 tấm 625+SVE6+SVE16.6+ Phụ Kiện 
Tổng:: 83.458.900đ</t>
  </si>
  <si>
    <t>đã thanh toán TK Công Ty 5/4</t>
  </si>
  <si>
    <t xml:space="preserve">Anh Vinh( Công Ty TNHH Đầu Tư Sản Xuất Thương Mại Và Dịch Vụ  Vinh Hưng)
Địa chỉ: Dĩ an
Mã số thuê : 3703231782
Hệ: 12 tấm + 1 sungow 6kw , 1 Pylontech 16kwh
Tổng: 136.573.000đ
</t>
  </si>
  <si>
    <t>đã đặt cọc 2 triệu 10/4
đã thanh toán đủ 10/06</t>
  </si>
  <si>
    <t>anh Hưởng ( Phú Hữu) Q9
Bộ : 8 tấm 620+Sungrow 6+1 SVE14.3kwh
Tổng: 102.000.000đ</t>
  </si>
  <si>
    <t>10/04 cọc 5 triệu</t>
  </si>
  <si>
    <t>anh Hoan ( Tự lắp)
10 tấm 620w, 6 cặp MC4 + 4 Biên, 6 giữa
Tổng 21.297.000đ</t>
  </si>
  <si>
    <t>10/4 lấy hàng</t>
  </si>
  <si>
    <t xml:space="preserve">Chú Thành ( ĐỨC ĐẠT)
hệ 18 tấm 625 , 1 XD10,12 Pylontech 16kw
Tổng: 223.960.000đ
</t>
  </si>
  <si>
    <t xml:space="preserve">8/4 đặt cọc 23.960.000đ Đã hoàn tiền công ty lại công ty khách
Thanh toán : 223.960.000đ Tiền Mặt </t>
  </si>
  <si>
    <t>Anh Tính ( tự lắp ) Long AN
Getta 3.6 5.8tr, + Phụ Kiện 
6.300.000đ</t>
  </si>
  <si>
    <t>15/4 lấy hàng thanh toán</t>
  </si>
  <si>
    <t>anh : Trần Văn Đạt ( Đồng Tháp)
12 tấm 625, 1 Sungrow 6kw , 1 SVE 16.6kwh
Tổng: 86.481.000đ</t>
  </si>
  <si>
    <t xml:space="preserve">
đã đặt cọ 3 triệu 
14/4 thanh toán tiền mặt 83.481.000đ
</t>
  </si>
  <si>
    <t>Chú Mỹ ( quận 12)
1 Valley 14,3kwh Tổng : 43.600.000đ</t>
  </si>
  <si>
    <t xml:space="preserve">anh Lợi ( Công Ty Cổ Phần Truyền Thông Mạng INET) 
14 đường số 6B( nối Dài) KDC Vĩnh Lộc Bình Tân 
MST: 0311823510
Tổng: 45.100.000đ
</t>
  </si>
  <si>
    <t>Thanh toán 17/4 : 45.100.000đ</t>
  </si>
  <si>
    <t xml:space="preserve">TRẦN THỊ MINH HẢI
064184010045
489/39 Nguyễn Văn Công, Phường Hạnh Thông, TPHCM
hệ 9 tấm 625, 1 Sungrow 6kw , 1 Pylontech 16kwh 
tổng: 124.700.000đ
</t>
  </si>
  <si>
    <t>đã đặt cọc ngày 16/4
đã thanh toán</t>
  </si>
  <si>
    <t>Khách hàng: Lê Quyết Tâm 
CCCD : 083085009930
Địa chỉ : Tổ 6 Khu phố An Lợi, Hoà Lợi 
Hệ 10 tấm Axitec 625w , 1 sungrow 6kw , 1 Pylontech 16kwh áp mái tôn 
Tổng : 120.000.000đ
Đặt cọc 10 triệu ( thứ 7 thi công)</t>
  </si>
  <si>
    <t>đã đặt cọc 18/4 10 triệu</t>
  </si>
  <si>
    <t>anh Hoa Vũ 
8 tấm 650 + Phụ kiện 
Tổng: 26.430.000đ</t>
  </si>
  <si>
    <t>đã thanh toán đủ Công Ty Công nghệ Trí Nghĩa</t>
  </si>
  <si>
    <t xml:space="preserve">anh Tú Tam Bình lấy 
2 tấm Aiko 650w
về tự lắp ạ </t>
  </si>
  <si>
    <t>21/4 đã thanh toán lấy hàng</t>
  </si>
  <si>
    <t>Anh: Hoàng Trung Nghĩa ( Khách tự lắp ) 
Địa chỉ: An Bình , Dĩ an , Bình Dương.
CCCD : 074099001160
Hệ : 8 tấm Axitec 625 , 1 Sungrow 6kw , 1 Pylontech 16kwh 
Tổng: 87.435.900đ
Đặt cọc : 10.000.000đ qua tuần khách lấy hàng.</t>
  </si>
  <si>
    <t>đặt cọc ngày 19/04</t>
  </si>
  <si>
    <t>Anh : Lê Huỳnh Phương Vũ 
Cccd : 079090012292
68/5A Khu Phố 1 , Hóc Môn.
Hệ 20 tấm Axitec , Solax 10kw 1 pha , 1 Pylontech 16kwh ( cọc 5 triệu) 
Tổng giá trị : 194.300.000 đ</t>
  </si>
  <si>
    <t>đặt cọc ngày 21/4 5 triệu 
Thanh toán : 189.300.000đ
ngày 8/5</t>
  </si>
  <si>
    <t>Anh Phong - Nguyễn Xiển ( công Ty SOng THư)
Tổng: 85.000.0000
Cọc: 85.000.000
TT Đủ: 85.000.000đ
chiết khấu ; 2.000.000đ cho người giới thiệu 
Gửi thêm 2 triệu anh Đức Dat</t>
  </si>
  <si>
    <t xml:space="preserve">đã thanh toán đủ </t>
  </si>
  <si>
    <t>Chú Tạ 
Địa chỉ: Số nhà 12 đường 11 kp 57 phường Hiệp Bình, Thủ Đức
Hệ 10 tấm Axitec 625 ,1 sungrow 6kw, 1 Pylontech 16kwh
Tổng: 127.684,000đ</t>
  </si>
  <si>
    <t>9-10 tháng 5 thi công 
nhận cọc 7 triệu tiền mặt 
nhận 100 triệu tiền mặt Chị Thảo
thanh toán tiền mặt  20.684.000đ ngày 27/5</t>
  </si>
  <si>
    <t>anh Ngọc kỳ
Cai Lậy Đồng Tháp
 Hệ: 10 tấm Aiko 650w , 1 sve 6kw , 1 sve 16.6kwh
Tổng: 81.677.000đ</t>
  </si>
  <si>
    <t>28 lấy hàng</t>
  </si>
  <si>
    <t>anh Trí ( Bình Phước)
( hệ 12 Tấm TCL 625 + 1 SVE 6kw + 1 Lưu trữ 16.6kwh Phụ Kiện )
Tổng: 76.403.750đ</t>
  </si>
  <si>
    <t>Thanh toán: 10/3( chưa nhận HH)</t>
  </si>
  <si>
    <t>CÔNG TY TNHH ĐẦU TƯ SẢN XUẤT THƯƠNG MẠI DỊCH VỤ HUỲNH ĐỨC
 A Trung lắp hệ 12 tấm 625 , gen2 6kw , lưu hina 14,3 
tổng 133tr</t>
  </si>
  <si>
    <t>7/4 cọc 3tr tk cty
11/4 tt đợt 2 : 78tr
18/4 ck 52tr</t>
  </si>
  <si>
    <t>a Phong Bành văn trân hệ 7,5kwp lưu 16kwh ( Solax ) 
tổng 150tr</t>
  </si>
  <si>
    <t>11/04 cọc 5tr tk cty
ck 50tr</t>
  </si>
  <si>
    <t>chú đoàn , cô vinh gò vấp lắp ở nha trang hệ 11kwp 3p áp thấp lưu 14,3kwh</t>
  </si>
  <si>
    <t>CK 188tr ngày 4/5
a phú lắp</t>
  </si>
  <si>
    <t xml:space="preserve">a CHIẾN  Bình lợi ( cty Nhơn việt ) hệ 9,3kwp hoà lưới bám tải 1p 
tổng 77tr </t>
  </si>
  <si>
    <t>26/4 cọc 3tr tk cty</t>
  </si>
  <si>
    <t>a Toàn lấy vtu 36 CB 25A</t>
  </si>
  <si>
    <t>tien mat</t>
  </si>
  <si>
    <t>A Đoàn thanh DUy , tam Bình hệ 15 tấm TCL 615 , solax 8kw , lưu LD160</t>
  </si>
  <si>
    <t>18/4 ck 5tr
11/5 ck 177tr</t>
  </si>
  <si>
    <t>Cô Dung Nguyễn Gia Trí Bình Thạnh hệ 28kwp , lux 20kw , lưu 14,3 khung sắt</t>
  </si>
  <si>
    <t>18/4 5tr tm</t>
  </si>
  <si>
    <t>A Tuấn Anh 24 Hoa Cúc hệ 7,4kwp bám tải tổng 72tr</t>
  </si>
  <si>
    <t>18/4 ck 5tr
chưa ai tới nghiệm thu</t>
  </si>
  <si>
    <t>A Ng hoài Nam dg tên lửa , hệ 7,38kwp , 1 sve6 
tổng 70tr</t>
  </si>
  <si>
    <t>21/4 cọc 1tr</t>
  </si>
  <si>
    <t>Bảo</t>
  </si>
  <si>
    <t>Chị Tuyết Lan, Gò Vấp hệ 5,625kwp, sungrow 6kw lưu 16kwh(pylontech) tổng 122,629,000</t>
  </si>
  <si>
    <t>Đặt cọc 9/4 5tr</t>
  </si>
  <si>
    <t xml:space="preserve">Anh Dũng, Biên Hoà hệ 5,625kwp (TCL 625), lưu 14,3kwh,sve6, </t>
  </si>
  <si>
    <t>Đặt cọc 15/4 5tr, ngân hàng giải ngân 80tr ngày 14/05, nhận tiền mặt 11,195,000 ngày 29/5</t>
  </si>
  <si>
    <t>Anh Toàn, Q12 hệ 5,2kwp, lưu 5kwh (pylon), sve6</t>
  </si>
  <si>
    <t>Đặt cọc 16/4 5tr</t>
  </si>
  <si>
    <t>Anh Phước, Lương Nhữ Học, Q5, 9,45kwp lưu 16,6kwh</t>
  </si>
  <si>
    <t>24/4 cọc 5tr, chuyển 100tr nagyf 2/6</t>
  </si>
  <si>
    <r>
      <rPr>
        <sz val="10"/>
        <color theme="1"/>
        <rFont val="Arial"/>
      </rPr>
      <t>Anh Thư-Q8
Tổng:</t>
    </r>
    <r>
      <rPr>
        <b/>
        <sz val="10"/>
        <color theme="1"/>
        <rFont val="Arial"/>
      </rPr>
      <t xml:space="preserve"> 91,283,300 hệ 2,5kwp, sungrow 5kw, 2 khối uf5000</t>
    </r>
    <r>
      <rPr>
        <sz val="10"/>
        <color theme="1"/>
        <rFont val="Arial"/>
      </rPr>
      <t xml:space="preserve">
Cọc 5tr ngày 10/3</t>
    </r>
  </si>
  <si>
    <t>nâng cấp pin uf5000 ngày 19/04
Trừ tiền bồi thường xử lý chống thấm 2tr</t>
  </si>
  <si>
    <t>Dương Tế
TT Cọc: 5.000.000
Hệ : 7.15kWp Lưu 16kWh
Tổng: 135.108.000</t>
  </si>
  <si>
    <t>Anh Sơn
TT Cọc:  16.800.000
Hệ tự lắp
Tổng:  53.400.000</t>
  </si>
  <si>
    <t>Chú Sơn
TT Cọc:  5.000.000
Hệ trọn gói
Tổng:  118.830.400</t>
  </si>
  <si>
    <t>Chu Quang Nhất
TT Cọc:  7.000.000
Hệ tự lắp
Tổng:  10.541.500</t>
  </si>
  <si>
    <t>Chú Lịch
TT Cọc:  2.000.000
Hệ nâng cấp
Tổng:  41.900.000</t>
  </si>
  <si>
    <t>Tháng 5</t>
  </si>
  <si>
    <t>cô dung nâng cấp thêm lưu trữ hi16 tổng 2 bình , ko lấy hi14</t>
  </si>
  <si>
    <t>a Hiếu nha trang 1 valey 16</t>
  </si>
  <si>
    <t>chú Cường bàu cát 8 , hệ 12 tấm 615 , snapro 6,5 , lưu sve 16.6 pro khung sắt
tổng đơn 125tr</t>
  </si>
  <si>
    <t>26/5 ck 120tr</t>
  </si>
  <si>
    <t>Chú Hoà 405 xô viết nghệ tĩnh , hệ 18 tấm 615 , gen 10 , 2 bình hina 16 khung sắt
tổng đơn 245tr</t>
  </si>
  <si>
    <t>điện xanh 365 lấy 2 bình pylontech 16 tổng 88tr</t>
  </si>
  <si>
    <t>a Kiên trần lấy 1 valey 5kwh</t>
  </si>
  <si>
    <t xml:space="preserve">CHị Lan - a Trung 54 Đa Phước 132tr hệ 12 tấm 615 , btan solax 6 , lưu ld160 </t>
  </si>
  <si>
    <t>a Quỳnh ( cty Pasano kcn sóng thần ) nâng cấp 16 tấm tcl 615 , tổng 63tr</t>
  </si>
  <si>
    <t>16/6 tt 60tr</t>
  </si>
  <si>
    <t xml:space="preserve">kiên trần lấy 1 pylontech 16 </t>
  </si>
  <si>
    <t>,</t>
  </si>
  <si>
    <t>Chú Nam Q2 dời pin + vật tư
Tổng 16.640.000 ck 4/5 tk cty</t>
  </si>
  <si>
    <t>CÔNG TY CỔ PHẦN LẬP DỰ ÁN Á CHÂU.
- Mã số thuế: 3702631065.
-Số 62 đường N1, khu phố Thống Nhất 1, phường Dĩ An
Bình lưu trữ SVE 16.6kWh thanh toán tk cty 36tr ngày 4/5</t>
  </si>
  <si>
    <t>TRẦN DUY NGHỊ
Địa chỉ : Tổ 12, KP Ngã Ba, Thị trấn Kiên Lương,Kiên Giang.
Cọc 80tr tk cty 5/5
TT tk cty 11/5 49.523.000
Tổng 129.523.000</t>
  </si>
  <si>
    <t>Ông HUỲNH VĂN DŨNG
35A Nguyễn Đình Chiểu, Phường Đức Nhuận
Hệ 7,38kWp hòa lưới khung sắt
Tổng: 92.880.000
Cọc 8/5 tk cty 5tr
Tiền mặt 70tr đã đưa chị Thảo</t>
  </si>
  <si>
    <t>Công ty TNHH Thương Mại Dịch Vụ và Xây Dựng Hoàng Long
Địa chỉ mới : 4 đường số 7, Kp2, phường Tam Bình, Tp HCM
Lux SNA2 14kW 
Tổng 27,4tr, tt ngày 9/5</t>
  </si>
  <si>
    <t>CÔNG TY CỔ PHẦN LẬP DỰ ÁN Á CHÂU.
- Mã số thuế: 3702631065.
- Địa chỉ: Số 62 đường N1, phường Dĩ An
Hệ tự lắp 12 tấm TCL, SNA pro, SVE 16.6, 10 kẹp biên 
Tổng 79.339.000</t>
  </si>
  <si>
    <t>Nguyễn Đỗ Thanh Quyên
1158/14 Nguyễn Chí Thanh, Khu Phố Hiệp An 1, Phường Phú An
 5,5kWp lưu 16,6kWh
Tổng giá trị 100tr
Đặt cọc 5tr 12/5 tk cty
TT tk cty 45tr 22/5
TT tiền mặt đưa chị Thảo 45tr 23/5</t>
  </si>
  <si>
    <t>Công ty Diễm Huy
Tổng 205tr
Lắp tháp lưu trữ áp cao Hinaess</t>
  </si>
  <si>
    <t>MAI THỊ LIỄU
Địa chỉ : 63/14/11 Lê Văn Sỹ, Phường Phú Nhuận
Hệ 3,9kWp hybrid
Cọc 5tr 14/05
TT tk cty 45,164,000 ngày 27/05
Tổng 50.164.000</t>
  </si>
  <si>
    <t>LÊ VĂN DŨNG
Địa chỉ : Nhà số 8, đường số 7, Hiệp Bình
Tổng đơn 247tr</t>
  </si>
  <si>
    <t>CÁP ĐỖ VĂN THƯƠNG
139 Đường 30/4 tổ 8 khu 6, Phường Phú Lợi, TPHCM
Tổng 241tr</t>
  </si>
  <si>
    <t>LÊ VĂN TRUNG
478D Hẻm A16, Phong Phú, Bình Chánh, TPHCM
Cọc 10 triệu tk cty ngày 27/5
Hệ 48kWp lưu trữ 32kWh
Tổng đơn 560.000.000</t>
  </si>
  <si>
    <t>CÔNG TY CỔ PHẦN NĂNG LƯỢNG DẦU KHÍ CHÂU Á
ĐẶNG QUỐC TOẢN
H16 Khu Biệt Thự Vườn Thủ Đức, 27 Đường số 03, Khu phố 05, Hiệp Bình
Tổng đơn 62.143.480</t>
  </si>
  <si>
    <t>Nguyễn Thị Ngọc Hà
Hệ 8 tấm 625 Axitec+ 1 SVe 6kw plus, 1 Sve 16.6kwh lite
Tổng giá trị 97.051.632</t>
  </si>
  <si>
    <t>Trương Anh Trung
hệ 8,7 kWp - 14 Tấm Axitec , 1 snapro
Tổng: 82.301.406</t>
  </si>
  <si>
    <t xml:space="preserve">Hệ thống 600kWp - Cơ Khí Thành Phát ( Anh Luân)
960 Tấm TCL - 05 Invt 110kw - 1 Solarman Box SAR-100 -5
Tổng : 5.322.620.000
</t>
  </si>
  <si>
    <t>Cọc</t>
  </si>
  <si>
    <t>Lệ Thanh Chi
291.085.640</t>
  </si>
  <si>
    <t>Nguyễn Thị Phượng
61.435.650</t>
  </si>
  <si>
    <t>Lê Văn Long
30 Tám Axitwc + Solis 16kW + 3 bình lưu SVE 16.6
Tổng: 309.464.832</t>
  </si>
  <si>
    <t xml:space="preserve">CÔNG TY TNHH XÂY DỰNG - QUẢNG CÁO - 
TỔ CHỨC SỰ KIỆN HẢI NAM
Đại diện:  Ông PHẠM BÁ NAM
: 17A Đường số 1, Khu phố 37, Phường Hiệp Bình, Thành phố Hồ Chí
Minh, Việt Nam.
MST : 0317444188
Đặt cọc hệ 16 tấm 615 , 1 solax 10kw 1pha , 1 LD 16kwh 
Tổng: 160.000.000đ 
</t>
  </si>
  <si>
    <t xml:space="preserve">đã đặt cọc 10 triệu 
đã Thu 150 triệu </t>
  </si>
  <si>
    <t>Ông VÕ QUỐC TUẤN
Địa chỉ : 539 Đường An Sơn 02, Phường Thuận An , Tp Hồ Chí Minh.
Cccd: 074087000326
Hệ 9 tấm Aiko 650w , 1 sungrow6kw , 1 Pylontech 16kwh 
Tổng đơn : 122.000.000đ 
Cọc 4.000.000đ ạ</t>
  </si>
  <si>
    <t>đã đặt cọc 4 triệu 8/5
thanh toán đủ : 17/06</t>
  </si>
  <si>
    <t xml:space="preserve">Anh Hoan
lấy 1 Hina 14kw ( 5 năm )
Tồng : 42,5 triệu </t>
  </si>
  <si>
    <t>thanh toán cá nhân chị Thảo</t>
  </si>
  <si>
    <t>anh Đinh Hồng Tư ( Hậu Giang)
2 bộ Genta: Tổng 11.600.000đ</t>
  </si>
  <si>
    <t>09/05 thanh toán đủ</t>
  </si>
  <si>
    <t xml:space="preserve">anh Nam ( Vũng Tàu)
Bộ : 12 tấm TCl 615, 1 SNAPRO 6.5kw, 1 Lưu trữ 16.6kw Pro
Tổng: 89.299.000đ
</t>
  </si>
  <si>
    <t>đã thanh toán 11/5</t>
  </si>
  <si>
    <t xml:space="preserve">Công Ty Toàn Cầu
2 SVE PRO 16.6kw 
76.000.000đ </t>
  </si>
  <si>
    <t>đã thanh toán 15/5</t>
  </si>
  <si>
    <t xml:space="preserve">Anh Khoa ( Tân Phú) ( trả tiền ngày 19/5)
4 tấm TCl 625 : 9.500.000đ </t>
  </si>
  <si>
    <t>anh Thông  ( TD1)
32 tấm Aiko 650 + 3 SNA PRO + Phụ Kiện 
Tổng: 126.300.000đ</t>
  </si>
  <si>
    <t>đã lấy19/5</t>
  </si>
  <si>
    <t>Chị Thương ( Công Ty BMK) ( cọc ngày 20/5)
Bộ 10 tấm Aiko 650 , 1 sve 6kw , lưu trữ 16.6kwh SVE LITE
Tổng: 81.617.500đ</t>
  </si>
  <si>
    <t>thanh toán đợt 1 ngày 25/6/2026</t>
  </si>
  <si>
    <t>Anh Đạo ( Thủ Đức) ( cọc ngày 20/5)
Bộ: 7 tấm Axitec , 1 Pylontech 16kwh Tổng : 63.334.250đ</t>
  </si>
  <si>
    <t xml:space="preserve">đã thanh toán xong ngày </t>
  </si>
  <si>
    <t xml:space="preserve">Khách tự lắp Hà Xuân Điền , Đồng Nai ( cọc 21/5)
đặt cọc : 8 tấm Axitec, 1 SNA Pro 6.5kw , 1 sve PRO 16.6kwh , Tủ điện, Phụ Kiện. 
Tổng bộ: 80.771.500đ ( mai xe lấy hàng )
</t>
  </si>
  <si>
    <t>anh Phán khách cũ ( lấy 2 tấm Axitec 625) ( lấy hàng 22/5)
nâng cấp thêm cho nhà</t>
  </si>
  <si>
    <t xml:space="preserve">anh Khoa ( Dĩ An)( lấy hàng)
1 sna 2 12 , 1 tủ điện , 1 SVE 16.6kw Pro lấy sau
Tổng: 71.040.000đ
</t>
  </si>
  <si>
    <t>anh Tuấn ( anh Lộc GTh) 
Bộ: 16 tấm Axitec , 1 Gen26, Tủ điện 
Tổng: 73.320.300đ</t>
  </si>
  <si>
    <t>thứ 7 lấy hàng</t>
  </si>
  <si>
    <t xml:space="preserve">Khách hàng: Đỗ Văn Tâm ( đặt cọc ngày 27/5)
CCCD : 079072008229
Hệ: 10 tấm TCL 615 , 1 snapro, 1 pylontech 16kwh : 126.559.000đ
Cọc 2 triệu đợi hồ sơ trả góp duyệt lắp
Địa chỉ; 24/3/2 Đặng Văn Bi, Khu Phố 31, Phường Thủ Đức, Thành Phố HCM.
</t>
  </si>
  <si>
    <t>đã đặt cọc 2 triệu ngày 27/5
100 triệu đợi ngân hàng giải ngân</t>
  </si>
  <si>
    <t>Khách hàng:  Bùi Đỗ Duy Đại  
Tam Bình Thủ Đức
CCCD: 079084010296 
Hệ 12 tấm Axitec, 1 sungrow 6kw, 1 Pylontech 16kwh 
Tổng: 130.000.000đ 
Cọc 2 triệu ạ</t>
  </si>
  <si>
    <t>đã đặt cọc 2 triệu ngày 27/5
đợt 2 thanh toán 1/6 tiền mặt 
còn lại ngày : 20/07 sẽ thanh toán đủ
thanh toán đủ ngày: 20/7/2026</t>
  </si>
  <si>
    <t>Khách hàng: Trương Văn Tuấn ( chưa thi công)
CCCD: 038081005887
Địa Chỉ: 3/16/16 Đường Hiệp Bình Chánh, Tp Thủ Đức
Hệ: 12 tấm TCl 615, 1 Sungrow
Tổng: 65.849.000đ</t>
  </si>
  <si>
    <t>đã đặt cọc 2 triệu ngày 28/5
CHƯA THI CÔNG</t>
  </si>
  <si>
    <t xml:space="preserve">anh Hưng (Cần Guộc)
7 Tấm Axitec
Phụ Kiện ,nhân công : Tổng: 30.696.953đ
</t>
  </si>
  <si>
    <t>đã đặt cọc 2 triệu ngày27/5
đã thanh toán đủ</t>
  </si>
  <si>
    <t>ĐINH VĂN MỘT ( thanh toán 28/5)
CCCD: 093085014780
Địa chỉ: 729 Đường Mậu Thân, Phường Cái Khế, Tp Cần Thơ.
hệ : 15 Canadian 620, 1sna pro, 1 SVE pro 16.6kwh
Tổng: 95.354.000đ</t>
  </si>
  <si>
    <t>đã thanh toán ngày 28/5 
30/5 lấy hàng</t>
  </si>
  <si>
    <t xml:space="preserve">Anh Dũng , Âu cơ
CCCD: 079084022705
SDT: 0903905160
Địa chỉ: 243 Âu Cơ, phường 5 quận 11
Hệ 18 tấm 650, 1 hlbt INVT 3 pha 10kw 
Tổng đơn : 102,130,000
</t>
  </si>
  <si>
    <t>Đặt cọc 2tr ngày 5/5, thanh toán tiền mặt 97,130,000 ngày 30/05</t>
  </si>
  <si>
    <t>Khách hàng: chị Thi
CCCD: 079195006433
SDT: 0906565501
Địa chỉ: 19/2 Chữ Đồng Tử, phường Tân Sơn Nhất
Hệ 9 tấm 615, 1 SVE 6kw, 1 lưu trữ sve 14.3kwh 
Tổng đơn : 92.488.000</t>
  </si>
  <si>
    <t>Đã trừ tiền hoa hồng 2tr488 cho người giới thiệu</t>
  </si>
  <si>
    <t>Khách hàng: Anh Nguyễn Trọng Thắng
CCCD: 030078006116
SDT: 0909009139
hệ 16 tấm Axitec 625, mg6, pylon 16kwh, khung sắt
Địa chỉ: Số 1, Đường Số 12 (Khu dân cư Verosa Park), Khu Phố 4, Phường Long Trường, Thành Phố Hồ Chí Minh
Tổng đơn: 167,150,000 ạ</t>
  </si>
  <si>
    <t>Thanh toán đủ ngày 2/6</t>
  </si>
  <si>
    <t>Khách hàng: Chú Lê Văn Sang
CCCD: 079061004186
SDT: 0918011381
Địa chỉ: Số 14 Chữ Đồng Tử, phường Tân Sơn Nhất, TPHCM
Hệ 8.125kwp, lưu 15kwh (13 tấm Axitec 625W), biến tần SNAPRO 6.5, 3 khối hi5. Tổng đơn 144.300.000</t>
  </si>
  <si>
    <t>Tháng 6</t>
  </si>
  <si>
    <t>NGUYỄN NGỌC DIỆP
Tổ 40, Cư xá TT Kiên Lương, Kiên Lương, Kiên Giang
091186001464
Cọc 50tr hệ tự lắp 2/6</t>
  </si>
  <si>
    <t>CÔNG TY TNHH MỘT THÀNH VIÊN PETSNU
HỒ MỸ HOA                                      
05 đường số 1, khu dân cư Conic, xã Bình Hưng, Thành phố Hồ Chí Minh.
MST: 0319215514
Tổng 130,5tr
Ck tk cty 02/06 5tr cọc</t>
  </si>
  <si>
    <t>TRẦN LỆ HIỆP
Địa chỉ : 115/91/35 Lê Văn Sỹ, Phường Phú Nhuận, TP.HCM
CCCD : 079159013977
Đặt cọc 06/06 tk cty 
Tổng đơn 146.000.000</t>
  </si>
  <si>
    <t>ĐINH HOÀN VŨ
115/91/33 Lê Văn Sỹ, Phường Phú Nhuận, TPHCM
079080016860
Tổng đơn 214,824,300
Thu lần 1 02/07 tk công ty 44.640.000
Thu lần 2 tk cty 31.800.000
Thu lần 3 tk cty 39.984.300</t>
  </si>
  <si>
    <t>Lê Văn Tuấn ( anh An Solar Hive gt)
Tổng 267tr
Cọc tk cty 5tr 
tk tk cty 262tr 04/07</t>
  </si>
  <si>
    <t>CÔNG TY TNHH MTV CƠ KHÍ NGUYỄN THÁI
NGUYỄN THÁI
340/10 Võ Văn Bích, Bình Mỹ, Củ Chi, TPHCM
21,770,000</t>
  </si>
  <si>
    <t>TRẦN ĐÔNG HẢI
Địa chỉ : 130 Nguyễn Chí Thanh, Bắc Cam Ranh, Khánh Hòa
CCCD : 056085000766
Tổng đơn: 252,052,000
Cọc 18/06 100tr
Thanh toán 152,052,000 ngày 19/06</t>
  </si>
  <si>
    <t>Anh Phương - Thủ Đức
Tổng đơn: 282 triệu</t>
  </si>
  <si>
    <t xml:space="preserve">Chị Duyên Tiệm Vàng Long An ( Công Ty TNHH Kim Phúc Long An
39/79 Đ. Bùi Văn Ngọ, Ấp 5 Xã Mỹ Hạnh,Tỉnh Tây Ninh.
hệ 16 tấm Axitec 625, 1 Mg12kw , 1 Pylontech 16kwh 
Tổng : 165.000.000đ
</t>
  </si>
  <si>
    <t>đã thanh toán 16/07/2026</t>
  </si>
  <si>
    <t>anh Khoa ( Thuận an) 
hệ: 20 tấm Axitec, SNA2 12 , SVE pro 16.6kwh Phụ kiện 
Tổng: 122.855.000đ</t>
  </si>
  <si>
    <t xml:space="preserve">Trần Phước Thanh 
Cccd 087097001572
Đồng Tháp ( mai lấy hàng)
Hệ tự lắp : 14 tấm canadian 620, Invt hybrid 10kw ,1 sve 14.3kw 
Tổng đơn: 111.035.000đ
</t>
  </si>
  <si>
    <t>cọc 10 triệu 5/6 
thanh toán : 97.535.770
đã thanh toán 3.5 triệu còn lại</t>
  </si>
  <si>
    <t xml:space="preserve">anh Tuấn ( Nhà Chú Tư ) Gò Vấp ( cọc 6/6)
489/9 Nguyễn Văn Công, P. Hạnh Thông
Hệ: 12 tấm Cana 620, 1 MG6, PL16
Tổng: 149.293.000đ
</t>
  </si>
  <si>
    <t xml:space="preserve">cọc ngày 6/6 5 triệu </t>
  </si>
  <si>
    <t xml:space="preserve">Ông NGÔ TRUNG HIẾU ( anh Châu) cọc 6/6
Địa chỉ : 76 khu phố 3 Tân Hạnh, phường Biên Hòa, thành phố Đồng Nai.
CCCD : 075092017891
Hệ 15 tấm Canadian 620, 1 sungrow 6kw, 1 lưu trữ Sungrow 16kwh mái tôn
Tổng : 148.000.000đ cọc 5 triệu </t>
  </si>
  <si>
    <t>cọc ngày 6/6 5 triệu 
20/6 thanh toán dủ</t>
  </si>
  <si>
    <t>anh Điền ( Đồng Nai)
2 tấm Axitec 625w
Tổng: 5.087.500đ</t>
  </si>
  <si>
    <t xml:space="preserve">Khách hàng: Trần Hữu Duyên 11/6/2026 cọc
CCCD: 08008400117
Địa Chỉ: Ấp 2, xã Mỹ Quý, Tỉnh Tây Ninh.
Hệ : 8 tấm Axitec , sungrow 6kw , 1 Valley 16kwh tổng : 113.000.000đ 
Cọc 3 triệu ( đợi xếp lịch thi công)
Điện xanh 365 lấy 3 valey 5kwh
</t>
  </si>
  <si>
    <t>đặt cọc 3 triệu
ngân hàng đã giải ngân 100 triệu
khách đã thanh toán 10 triệu 7/7/2026</t>
  </si>
  <si>
    <t>Chú Danh Quận 12  10/06/2026 cọc ( trả góp)
Đặt cọc hệ thống 25 tấm Canadian 620 , 1 solax 12kw , 3 lưu trữ 16kwh solax ( 6 tấm khung sắt , 19 áp mái)
Tổng đơn 256.000.000đ thêm 1 bình lưu trữ solax
Cọc 5 triệu ạ ( đợi chú Thay tôn rồi thi công cho an toàn)</t>
  </si>
  <si>
    <t>đặt cọc 5 triệu 
thanh toán đợt 1 61.400.000đ
ngân hàng giải ngân 97.500.000dd</t>
  </si>
  <si>
    <t>Chú Thắng (Tân Bình ) 11/6/2026 cọc ( nhà đang Xây)
318/144 Phạm Văn Hai, Phường 5, Tân Bình, Hồ Chí Minh, Việt Nam 
hệ: 12 tấm canadian 620w, 1 solax 8kw , 1 lưu trữ 16kwh Solax.
Tổng giá trị; 140,460,560 đKhách tự làm khung 
cọc: 5 triệu</t>
  </si>
  <si>
    <t>anh Tấn ( Long An)
hê: 12 tấm Canadian 620, 1 SVE6, 1 SVE 16.6PRO , tủ điện , Phụ kiện 
Tổng: 88.818.900đ</t>
  </si>
  <si>
    <t>anh Trung Tự lắp ( lấy ngày 13/06/2026) ( Miền tây)
Thanh Toán  đơn 
8 tấm : 620, 1 hina 14.3kw , Phụ kiện : 66.215.900đ</t>
  </si>
  <si>
    <t xml:space="preserve">CÔNG TY CỔ PHẦN DỊCH VỤ ĐẦU TƯ VẬN TẢI PHƯƠNG
TRINH ( cọc 18/06) ( chua thi công)
Đại diện : Ông PHAN ĐÌNH THẾ Chức vụ: Phó giám đốc
Địa chỉ : 958 Quang Trung, Phường Thông Tây Hội, Tp Hồ Chí Minh, Việt Nam.
MST : 0313005165
( Địa chỉ lắp: 05H5 Đường DN9, P Tân Hưng Thuận , Quận 12)
Hệ : 20 tấm Canadian 620, 1 Solax 12kw, 2 lưu trữ Solax 12kw Khung sắt 
Tổng: 274.631.000đ  Đặt cọc 10 triệu (28 Thi Công)
</t>
  </si>
  <si>
    <t xml:space="preserve">đang thi công 25/06
</t>
  </si>
  <si>
    <t xml:space="preserve">CÔNG TY TNHH CHAMOIS
hệ 12 tấm Canadian 620, 1 XD10kw 1 pha
Tổng: 89,310,060
</t>
  </si>
  <si>
    <t>chị Hạnh ( Bình Dương) 
hệ 9 tấm Cana 620, 1 sve 6kw , 1 Lưu trữ 16kwh áp Mái 
Tổng: 98.000.0000đ cọc 2 triệu ngày 26/06</t>
  </si>
  <si>
    <t>Khách hàng: Trần Nguyễn Hải Ngân
CCCD: 079188010275
SDT: 0908724279
Địa chỉ: 292/15 Bình Lợi, phường Bình Lợi Trung, TPHCM
Hệ 6,25kwp, lưu 16kwh (10 tấm TCL 625W), biến tần Solax 6kw, lưu trữ solax 16kwh, khung sắt. Tổng đơn 129.000.000₫</t>
  </si>
  <si>
    <t>Khách hàng: Trần Thế Minh
CCCD: 077089002792
SDT: 0902444124
Địa chỉ: 435/7/33 Thống Nhất, phường Thông Tây Hội, TPHCM
Hệ 10kwp, lưu 16kwh (16 tấm TCL 625W), biến tần Sungrow 8kw, lưu trữ SVE 16kw. Tổng đơn 135.000.000₫</t>
  </si>
  <si>
    <t>Đặt cọc ngày 24/6</t>
  </si>
  <si>
    <t>Anh Thắng nâng cấp 1 khối pin Pylontech 16kw</t>
  </si>
  <si>
    <t>Đặt cọc ngày 16/6</t>
  </si>
  <si>
    <t xml:space="preserve">Nguyễn Thị Út
CCCD: 079165002807
SDT: 090 7299964
Địa chỉ: 489/4 Huỳnh Văn Bánh, Phú Nhuận, TPHCM
Hệ 5.625kwp, lưu 16kwh (10 tấm TCL 625W), biến tần Snapro6.5, lưu trữ SVE 16kw. Tổng đơn 101.600.000₫
</t>
  </si>
  <si>
    <t>Đặt cọc ngày 25/6</t>
  </si>
  <si>
    <t>Khách hàng: Nguyễn Thanh Tuấn
CCCD: 080086007058
Địa chỉ: ấp Phước Thuận, Cần Giuộc, Tây Ninh
Hệ 14kwp, lưu 16kwh (14 tấm TCL 625W), biến tần SG8, lưu trữ Valley 16kw. Tổng đơn 142.000.000₫</t>
  </si>
  <si>
    <t>Đặt cọc ngày 30/06</t>
  </si>
  <si>
    <t>Anh Thắng thay biến tần SG6 sang SG8 bù thêm tiền</t>
  </si>
  <si>
    <t>Anh Dũng- Âu Cơ mua thêm dây Cadivi 4x10mm</t>
  </si>
  <si>
    <t xml:space="preserve">A hiếu Cát lái - hệ 10 tấm 625 , solax 6 , lưu solax 16 
tổng 135.000.000đ </t>
  </si>
  <si>
    <t>ck 120tr ngày 11/6</t>
  </si>
  <si>
    <t>điện xanh 365 lấy 3 valey 5kwh = 56,1tr</t>
  </si>
  <si>
    <t>ck 56tr100 ngày 11/6</t>
  </si>
  <si>
    <t>Hiếu nha trang lấy 1 valey 16</t>
  </si>
  <si>
    <t>ck 45tr100 ngày 1306</t>
  </si>
  <si>
    <t>Chú thái nâng cấp 6 tấm 615 , 1 valey 14,3kwh tổng 68tr5</t>
  </si>
  <si>
    <t>a MInh hệ 15kwp lưu 32kwh solax</t>
  </si>
  <si>
    <t>a kiên trần lấy 1 tủ ats , 10 mc4 tổng 4tr2</t>
  </si>
  <si>
    <t>a Trương Hà combo 12 tấm pin tcl615 , snapro , sve16,6plus 86tr5</t>
  </si>
  <si>
    <t>Nguyễn Xuân Hòa
16 TẤM candian - solis 16kw - 1 SVE 16.6 pro
Tổng 159.113.080</t>
  </si>
  <si>
    <t>Nhựa Gia Hân
358 Candian - Hybrid 60kw + Ongrid 150kw Solax - 07  TB-HR140 14.3kwh 
Tổng : 3.540.000.000</t>
  </si>
  <si>
    <t>Huydai Ngọc Phát
130 Axitec + Solax Hybird 60kw + SolaX 5kw + 1 Pin lưu 16.6
Tổng: 747.221.770</t>
  </si>
  <si>
    <t>Trương Anh Trung
Nâng cáp pin SVE 16.6 lite
Tổng: 42.200.000</t>
  </si>
  <si>
    <t>Nhi</t>
  </si>
  <si>
    <t>Nguyễn Thị Tươi
CCCD: 030176010574
SĐT: 0974639022
Địa chỉ: Tổ 4, khu phố 5, Bình cơ, Bình Dương
16 tấm canadian - invt 10kw - sve16
Tổng:136.416.800
Cọc 2tr 22/6 tk cty
ttl2 36.916.800 24/6 tk cty
ttlc: 97tr500 đợi ngân hàng giải ngân 03/07</t>
  </si>
  <si>
    <t xml:space="preserve">Bùi Tấn Tài
CCCD: 074086007798
SĐT: 0778889997
Địa chỉ: ấp Vàm Lớn, Xã Thạnh Phước, Tỉnh Tây Ninh
Tổng: 96.192.240
cọc: tk cty 2tr 06/06
ttl2: 84.192.240 tk cty 19/6
ttlc: 10tr tk cty 30/6
</t>
  </si>
  <si>
    <t>Huyền</t>
  </si>
  <si>
    <t>Trần Thị Thúy Nhiên
CCCD:075180014889
SĐT: 0933941133
Địa chỉ: 146 Hoàng Diệu, Khu phố 19A, Tổ 8, Long Khánh, Đồng Nai
12 tấm Canadian - snapro - sve16.6eco
Tổng 111.000.000
Cọc 2tr 11/6 tk cty
ttl2 9tr1 15/6 tk cty
ttlc: 99tr9 đợi ngân hàng giải ngân</t>
  </si>
  <si>
    <t>Tháng 7</t>
  </si>
  <si>
    <t xml:space="preserve">a bình hoàng huu nam nâng cấp 1 bình valey 14,3kwh </t>
  </si>
  <si>
    <t>A Linh chợ bình điền hệ 15,625kwp bám tải tổng 132tr</t>
  </si>
  <si>
    <t>a Trường ( cty liên việt )</t>
  </si>
  <si>
    <t>a nhân hệ bơm khách cũ</t>
  </si>
  <si>
    <t xml:space="preserve">a Định khách tự tìm , hệ 7,5kwp bám tải </t>
  </si>
  <si>
    <t>Khách hàng: TRẦN THỊ THANH TRÚC
CCCD: 079158031493
Địa chỉ: 486 Huỳnh Tấn Phát, phường Tân Thuận, TPHCM
Hệ 7.5kwp, lưu 16kwh (12 tấm TCL 625W), biến tần Solax 6kw, lưu trữ solax 16kw. Tổng đơn 147.000.000₫</t>
  </si>
  <si>
    <t>HUỶ</t>
  </si>
  <si>
    <t>Khách hàng: LÂM THỊ NGỌC CẨM
CCCD: 036181020693
SDT: 0989 807 027
Địa chỉ: 8E/1L khu phố Đồng An 2, phường Bình Hoà, thành phố Hồ Chí Minh
Hệ 12.5kwp, lưu 32kwh (20 tấm TCL 625W), biến tần INVT 10kw, 2 bình lưu trữ Valley 16kw. Tổng đơn 205.100.000₫</t>
  </si>
  <si>
    <t>Khách hàng: NGUYỄN HOÀNG LONG
CCCD: 001073020119
SDT: 0903729273
Địa chỉ: 52 Đường A4, phường Bảy Hiền, TPHCM
Hệ 5.625kwp (9 tấm Axitec 625W), biến tần snapro , không lưu trữ. Tổng đơn 62.000.000₫</t>
  </si>
  <si>
    <t xml:space="preserve">Khách hàng: ĐỖ THỊ KIM TUYẾN
CCCD: 092165004749
SDT: 0768187575
Địa chỉ: 647A, tổ 14, khu phú 9, phường Long Bình, thành phố Đồng Nai.
Hệ 8.75kwp (14 tấm TCL 625W), biến tần Sungrow 6kw, lưu trữ Valley 16kwh . Tổng đơn 132.000.000₫
</t>
  </si>
  <si>
    <t>Đợi ngân hàng giải ngân</t>
  </si>
  <si>
    <t>Anh Hân- Bình Định lắp hệ 12 tấm 615W, biến tần SNAPRO 6,5kw, pin lưu Valley 16kwh,, khung sắt, tổng đơn 132tr</t>
  </si>
  <si>
    <t>Khách hàng: CÔNG TY CỔ PHẦN ĐẦU TƯ XÂY DỰNG PHÁT TRIỂN HẠ TẦNG
GEMADEPT
MST: 1100 791 685
Đại diện : PHẠM NGỌC QUÂN
Địa chỉ lắp đặt: Cảng Gemalink, khu phố Tân Lộc, phường Tân
Phước, thành phố Hồ Chí Minh.
Hệ 12.5kwp (20 tấm TCL 625W), biến tần INVT 10KW. Tổng đơn 119.000.000₫</t>
  </si>
  <si>
    <t>Chú Quang ( Binh Thạnh)
hệ thống : 21 tấm Cannadian 620, 1 Solax 12kw , 3 Bình Solax 16kwh 
Tổng Giá trị: 310.394.000đ</t>
  </si>
  <si>
    <t>thanh toán 100 triệu ngày 13/7
thanh toán : đủ ngày 14/7</t>
  </si>
  <si>
    <t>anh Khoa Cf tự lắp ( 13/7) thanh toán
30 tấm Axitec 620, 2 solis 18kw 3 pha, 3 valley , 1 tủ điện, 1 cọc tiếp địa 300k
Tổng: 328.912.500đ</t>
  </si>
  <si>
    <t>đã thanh toán 21/7</t>
  </si>
  <si>
    <t>Sonluongdo ( Công Ty TNHH VIK COLORS) anh Hoan GTH
4 tấm Canadian 620, 1 SVE 16kwh , vỏ tủ điện
Tổng: 48.770.800đ trừ 1.150.000đ 
Tổng: 47.628.000đ</t>
  </si>
  <si>
    <t>anh Hưng ( nâng cấp)
lưu trữ 14.3kwh Valley 
Tổng: 43.600.000đ</t>
  </si>
  <si>
    <t>Anh Khoa ( đi dây âm trước )
104 Phan Văn Trị Bình Thạnh
Chốt hệ 12 tấm Canadian , 1 snapro 6.5, 
1 sve 16 lite 2 
Tổng : 133.000.000đ 
Cọc 10 triệu</t>
  </si>
  <si>
    <t>đợi Hoàn Công đã đi âm trước</t>
  </si>
  <si>
    <t>Khách anh Nguyễn Văn Tiến
CCCD: 056073008587 
83/9C1 Đường 385 p.Tăng Nhơn Phú Quận 9
Đặt cọc hệ thống 
8 tấm longi X7 1 snapro 6.5 1 sve 16
Tổng: 99.385.640đ 
cọc 2 triệu tiền mặt</t>
  </si>
  <si>
    <t xml:space="preserve">anh Sơn ( Biên Hoà) ( 23/07/2026 cọc 3 triệu)
hệ : 12 tấm TCL 625, 1 biến tần solax 6kw, 1 lưu trữ solax 16kwh khung sắt
Tổng : 144.000.000đ cọc 3 triệu </t>
  </si>
  <si>
    <t>đợi hồ sơ duyệt</t>
  </si>
  <si>
    <t>Thu tiền cọc khách anh Toả Hóc Môn, tổng đơn 132tr, hệ 12 tấm tlc 625Wp + solax 6kw và 16kwh</t>
  </si>
  <si>
    <t xml:space="preserve">anh Tuyên ( Đồng Tháp)
hệ: 5 tấm TCL 625, 1 Genta 3.6kw, Lưu trữ 7.5kwh tủ phụ kiên
Tổng; 47.357.200d
</t>
  </si>
  <si>
    <t xml:space="preserve">lấy hàng 27/07/2026
thanh toán </t>
  </si>
  <si>
    <t>anh Khoa Thủ Đức
1 valley 16kwh; 41.800.000 đ</t>
  </si>
  <si>
    <t>CÔNG TY BMK
1 sve 1 tủ điện , dây điện ; 18.424.000 đ</t>
  </si>
  <si>
    <t>Tuyết Nhi</t>
  </si>
  <si>
    <t xml:space="preserve">Anh Tuấn ( TĐ) 16/7
tự lắp 6 tấm canadian + dây
Tổng: 15.417.200
</t>
  </si>
  <si>
    <t xml:space="preserve">CÔNG TY CỔ PHẦN PLAN B 
HUỲNH THỊ UYỂN NHI
03 Đặng Thúc Liêng, Phường Chánh Hưng, thành phố Hồ Chí Minh
0317316683
Tổng đơn tự lắp 186.059.600
Thanh toán lần 1 tk cty 55,817,880 </t>
  </si>
  <si>
    <t>Chị Liên - Miền Tây 
Tổng đơn: 123tr
12/8 tk cty</t>
  </si>
  <si>
    <t>NGÔ THANH VŨ
3/2 Bình Hoà 16, KP Đồng An 1 , Phường Bình Hoà ,TP.HCM
CCCD: 074084000422
Cọc 10 triệu hệ 35kWp lưu 96kWh Solax
5/8 tk cty 490tr
Tổng đơn: 603 triệu</t>
  </si>
  <si>
    <t>PHẠM VĂN HUYNH
Địa chỉ : 208/82 đường số 5, phường Bình Hưng Hòa, Bình Tân
036064039534 
Khách cọc 5tr tk cty 24/07
3/8 tk cty 142tr
Tổng hệ 147 triệu ạ</t>
  </si>
  <si>
    <r>
      <rPr>
        <sz val="10"/>
        <color rgb="FF000000"/>
        <rFont val="Arial"/>
      </rPr>
      <t>CÔNG TY CỔ PHẦN DU LỊCH TIỀN GIANG
NGUYỄN HOÀNG TRÍ                                      
63 Trưng Trắc, Phường Mỹ Tho, Tỉnh Đồng Tháp, Việt Nam.
MST: 1200100451</t>
    </r>
    <r>
      <rPr>
        <b/>
        <sz val="10"/>
        <color rgb="FF000000"/>
        <rFont val="Arial"/>
      </rPr>
      <t xml:space="preserve">
</t>
    </r>
    <r>
      <rPr>
        <sz val="10"/>
        <color rgb="FF000000"/>
        <rFont val="Arial"/>
      </rPr>
      <t>Tổng đơn: 345tr</t>
    </r>
  </si>
  <si>
    <t>Tháng 8</t>
  </si>
  <si>
    <t>a Danh 35 dg 2 tam bình hệ 13 tấm TCL 625 , solax 6 + LD160
Tổng 134tr</t>
  </si>
  <si>
    <t>Sale Tự Kiếm</t>
  </si>
  <si>
    <t>CTV</t>
  </si>
  <si>
    <t>tự lắp</t>
  </si>
  <si>
    <t>trọn gói</t>
  </si>
  <si>
    <t>Công nợ</t>
  </si>
  <si>
    <t>Tổng Tiền</t>
  </si>
  <si>
    <t>Đã Thanh Toán</t>
  </si>
  <si>
    <t>Ngày/Tháng/Năm</t>
  </si>
  <si>
    <t>Hoa Hồng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</si>
</sst>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dd/mm"/>
    <numFmt numFmtId="168" formatCode="_(* #,##0_);_(* \(#,##0\);_(* &quot;-&quot;??_);_(@_)"/>
    <numFmt numFmtId="169" formatCode="#,##0;\(#,##0\);"/>
  </numFmts>
  <fonts count="15">
    <font>
      <sz val="10"/>
      <color rgb="FF000000"/>
      <name val="Arial"/>
      <scheme val="minor"/>
    </font>
    <font>
      <sz val="10"/>
      <color theme="1"/>
      <name val="Arial"/>
      <scheme val="minor"/>
    </font>
    <font>
      <sz val="10"/>
      <color theme="1"/>
      <name val="Arial"/>
    </font>
    <font>
      <b/>
      <sz val="10"/>
      <color rgb="FF0D0D0D"/>
      <name val="Arial"/>
    </font>
    <font>
      <sz val="11"/>
      <color theme="1"/>
      <name val="Arial"/>
    </font>
    <font>
      <sz val="11"/>
      <color theme="1"/>
      <name val="Arial"/>
      <scheme val="minor"/>
    </font>
    <font>
      <sz val="10"/>
      <color rgb="FF434343"/>
      <name val="Arial"/>
    </font>
    <font>
      <sz val="10"/>
      <color theme="1"/>
      <name val="Arial"/>
      <scheme val="minor"/>
    </font>
    <font>
      <sz val="12"/>
      <color theme="1"/>
      <name val="&quot;Times New Roman&quot;"/>
    </font>
    <font>
      <b/>
      <sz val="10"/>
      <color rgb="FF000000"/>
      <name val="Arial"/>
      <scheme val="minor"/>
    </font>
    <font>
      <sz val="12"/>
      <color rgb="FF000000"/>
      <name val="Arial"/>
      <scheme val="minor"/>
    </font>
    <font>
      <b/>
      <sz val="10"/>
      <color theme="1"/>
      <name val="Arial"/>
    </font>
    <font>
      <sz val="10"/>
      <color rgb="FF000000"/>
      <name val="Arial"/>
    </font>
    <font>
      <b/>
      <sz val="10"/>
      <color rgb="FF000000"/>
      <name val="Arial"/>
    </font>
    <font>
      <sz val="10"/>
      <color rgb="FF000000"/>
      <name val="Arial"/>
      <scheme val="minor"/>
    </font>
  </fonts>
  <fills count="8">
    <fill>
      <patternFill patternType="none"/>
    </fill>
    <fill>
      <patternFill patternType="gray125"/>
    </fill>
    <fill>
      <patternFill patternType="solid">
        <fgColor rgb="FFF6F8F9"/>
        <bgColor rgb="FFF6F8F9"/>
      </patternFill>
    </fill>
    <fill>
      <patternFill patternType="solid">
        <fgColor rgb="FFFFFFFF"/>
        <bgColor rgb="FFFFFFFF"/>
      </patternFill>
    </fill>
    <fill>
      <patternFill patternType="solid">
        <fgColor theme="5" tint="0.39997558519241921"/>
        <bgColor indexed="64"/>
      </patternFill>
    </fill>
    <fill>
      <patternFill patternType="solid">
        <fgColor theme="5" tint="0.39997558519241921"/>
        <bgColor rgb="FFBB463C"/>
      </patternFill>
    </fill>
    <fill>
      <patternFill patternType="solid">
        <fgColor theme="0"/>
        <bgColor indexed="64"/>
      </patternFill>
    </fill>
    <fill>
      <patternFill patternType="solid">
        <fgColor theme="0"/>
        <b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4" fillId="0" borderId="0" applyFont="0" applyFill="0" applyBorder="0" applyAlignment="0" applyProtection="0"/>
  </cellStyleXfs>
  <cellXfs count="39">
    <xf numFmtId="0" fontId="0" fillId="0" borderId="0" xfId="0" applyFont="1" applyAlignment="1"/>
    <xf numFmtId="0" fontId="2" fillId="0" borderId="0" xfId="0" applyFont="1" applyAlignment="1"/>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3" fontId="2" fillId="3" borderId="1" xfId="0" applyNumberFormat="1" applyFont="1" applyFill="1" applyBorder="1" applyAlignment="1">
      <alignment horizontal="center" vertical="center" wrapText="1"/>
    </xf>
    <xf numFmtId="0" fontId="2" fillId="3" borderId="1" xfId="0" applyFont="1" applyFill="1" applyBorder="1" applyAlignment="1">
      <alignment vertical="center" wrapText="1"/>
    </xf>
    <xf numFmtId="0" fontId="1" fillId="3" borderId="1" xfId="0" applyFont="1" applyFill="1" applyBorder="1" applyAlignment="1">
      <alignment horizontal="left" vertical="top" wrapText="1"/>
    </xf>
    <xf numFmtId="3"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2" fillId="0" borderId="1" xfId="0" applyFont="1" applyBorder="1" applyAlignment="1">
      <alignment vertical="center" wrapText="1"/>
    </xf>
    <xf numFmtId="3" fontId="4" fillId="3" borderId="1" xfId="0" applyNumberFormat="1" applyFont="1" applyFill="1" applyBorder="1" applyAlignment="1">
      <alignment horizontal="center" vertical="center" wrapText="1"/>
    </xf>
    <xf numFmtId="0" fontId="5" fillId="3" borderId="1" xfId="0" applyFont="1" applyFill="1" applyBorder="1" applyAlignment="1">
      <alignment horizontal="left" vertical="top" wrapText="1"/>
    </xf>
    <xf numFmtId="0" fontId="5" fillId="0" borderId="1" xfId="0" applyFont="1" applyBorder="1" applyAlignment="1">
      <alignment vertical="center" wrapText="1"/>
    </xf>
    <xf numFmtId="0" fontId="4"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3" fontId="7" fillId="0" borderId="1" xfId="0" applyNumberFormat="1" applyFont="1" applyBorder="1" applyAlignment="1">
      <alignment horizontal="center" vertical="center" wrapText="1"/>
    </xf>
    <xf numFmtId="3" fontId="5" fillId="0" borderId="1" xfId="0" applyNumberFormat="1" applyFont="1" applyBorder="1" applyAlignment="1">
      <alignment horizontal="center" vertical="center" wrapText="1"/>
    </xf>
    <xf numFmtId="3" fontId="8" fillId="0" borderId="1" xfId="0" applyNumberFormat="1" applyFont="1" applyBorder="1" applyAlignment="1">
      <alignment horizontal="center" vertical="center" wrapText="1"/>
    </xf>
    <xf numFmtId="164" fontId="1" fillId="0" borderId="1" xfId="0" applyNumberFormat="1" applyFont="1" applyBorder="1" applyAlignment="1">
      <alignment vertical="center" wrapText="1"/>
    </xf>
    <xf numFmtId="0" fontId="9"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1" fillId="6" borderId="0" xfId="0" applyFont="1" applyFill="1" applyAlignment="1">
      <alignment horizontal="center"/>
    </xf>
    <xf numFmtId="0" fontId="0" fillId="6" borderId="0" xfId="0" applyFont="1" applyFill="1" applyAlignment="1"/>
    <xf numFmtId="0" fontId="1" fillId="7" borderId="1" xfId="0" applyFont="1" applyFill="1" applyBorder="1" applyAlignment="1">
      <alignment vertical="center" wrapText="1"/>
    </xf>
    <xf numFmtId="168" fontId="2" fillId="3" borderId="1" xfId="1" applyNumberFormat="1" applyFont="1" applyFill="1" applyBorder="1" applyAlignment="1">
      <alignment vertical="center" wrapText="1"/>
    </xf>
    <xf numFmtId="168" fontId="1" fillId="0" borderId="1" xfId="1" applyNumberFormat="1" applyFont="1" applyBorder="1" applyAlignment="1">
      <alignment vertical="center" wrapText="1"/>
    </xf>
    <xf numFmtId="168" fontId="2" fillId="0" borderId="1" xfId="1" applyNumberFormat="1" applyFont="1" applyBorder="1" applyAlignment="1">
      <alignment vertical="center" wrapText="1"/>
    </xf>
    <xf numFmtId="168" fontId="5" fillId="0" borderId="1" xfId="1" applyNumberFormat="1" applyFont="1" applyBorder="1" applyAlignment="1">
      <alignment vertical="center" wrapText="1"/>
    </xf>
    <xf numFmtId="169" fontId="2" fillId="3" borderId="1" xfId="0" applyNumberFormat="1" applyFont="1" applyFill="1" applyBorder="1" applyAlignment="1">
      <alignment vertical="center" wrapText="1"/>
    </xf>
    <xf numFmtId="169" fontId="1" fillId="0" borderId="1" xfId="0" applyNumberFormat="1" applyFont="1" applyBorder="1" applyAlignment="1">
      <alignment vertical="center" wrapText="1"/>
    </xf>
    <xf numFmtId="169" fontId="2" fillId="0" borderId="1" xfId="0" applyNumberFormat="1" applyFont="1" applyBorder="1" applyAlignment="1">
      <alignment horizontal="right" vertical="center" wrapText="1"/>
    </xf>
    <xf numFmtId="169" fontId="5" fillId="0" borderId="1" xfId="0" applyNumberFormat="1" applyFont="1" applyBorder="1" applyAlignment="1">
      <alignment vertical="center" wrapText="1"/>
    </xf>
    <xf numFmtId="169" fontId="7" fillId="0" borderId="1" xfId="0" applyNumberFormat="1" applyFont="1" applyBorder="1" applyAlignment="1">
      <alignment vertical="center" wrapText="1"/>
    </xf>
    <xf numFmtId="168" fontId="1" fillId="7" borderId="1" xfId="1" applyNumberFormat="1" applyFont="1" applyFill="1" applyBorder="1" applyAlignment="1">
      <alignment vertical="center" wrapText="1"/>
    </xf>
  </cellXfs>
  <cellStyles count="2">
    <cellStyle name="Bình thường" xfId="0" builtinId="0"/>
    <cellStyle name="Dấu phẩy" xfId="1" builtinId="3"/>
  </cellStyles>
  <dxfs count="32">
    <dxf>
      <numFmt numFmtId="168" formatCode="_(* #,##0_);_(* \(#,##0\);_(* &quot;-&quot;??_);_(@_)"/>
    </dxf>
    <dxf>
      <border outline="0">
        <right style="thin">
          <color indexed="64"/>
        </right>
      </border>
    </dxf>
    <dxf>
      <numFmt numFmtId="169" formatCode="#,##0;\(#,##0\);"/>
    </dxf>
    <dxf>
      <fill>
        <patternFill>
          <bgColor theme="5" tint="0.39997558519241921"/>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bgColor rgb="FFF28E86"/>
        </patternFill>
      </fill>
      <border diagonalUp="0" diagonalDown="0">
        <left style="thin">
          <color rgb="FF000000"/>
        </left>
        <right style="thin">
          <color rgb="FF000000"/>
        </right>
        <top/>
        <bottom/>
        <vertical style="thin">
          <color rgb="FF000000"/>
        </vertical>
        <horizontal style="thin">
          <color rgb="FF000000"/>
        </horizontal>
      </border>
    </dxf>
    <dxf>
      <fill>
        <patternFill>
          <bgColor rgb="FFF28E86"/>
        </patternFill>
      </fill>
    </dxf>
    <dxf>
      <fill>
        <patternFill>
          <bgColor theme="5" tint="0.39997558519241921"/>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border>
        <left style="thin">
          <color rgb="FFBB463C"/>
        </left>
        <right style="thin">
          <color rgb="FFBB463C"/>
        </right>
        <top style="thin">
          <color rgb="FFBB463C"/>
        </top>
        <bottom style="thin">
          <color rgb="FFBB463C"/>
        </bottom>
      </border>
    </dxf>
  </dxfs>
  <tableStyles count="7">
    <tableStyle name="KH đã lắp đặt-style" pivot="0" count="4" xr9:uid="{00000000-0011-0000-FFFF-FFFF00000000}">
      <tableStyleElement type="wholeTable" size="0" dxfId="31"/>
      <tableStyleElement type="headerRow" dxfId="30"/>
      <tableStyleElement type="firstRowStripe" dxfId="29"/>
      <tableStyleElement type="secondRowStripe" dxfId="28"/>
    </tableStyle>
    <tableStyle name="KH đã lắp đặt-style 2" pivot="0" count="2" xr9:uid="{00000000-0011-0000-FFFF-FFFF01000000}">
      <tableStyleElement type="firstRowStripe" dxfId="27"/>
      <tableStyleElement type="secondRowStripe" dxfId="26"/>
    </tableStyle>
    <tableStyle name="KH đã lắp đặt-style 3" pivot="0" count="2" xr9:uid="{00000000-0011-0000-FFFF-FFFF02000000}">
      <tableStyleElement type="firstRowStripe" dxfId="25"/>
      <tableStyleElement type="secondRowStripe" dxfId="24"/>
    </tableStyle>
    <tableStyle name="KH đã lắp đặt-style 4" pivot="0" count="2" xr9:uid="{00000000-0011-0000-FFFF-FFFF03000000}">
      <tableStyleElement type="firstRowStripe" dxfId="23"/>
      <tableStyleElement type="secondRowStripe" dxfId="22"/>
    </tableStyle>
    <tableStyle name="KH đã lắp đặt-style 5" pivot="0" count="2" xr9:uid="{00000000-0011-0000-FFFF-FFFF04000000}">
      <tableStyleElement type="firstRowStripe" dxfId="21"/>
      <tableStyleElement type="secondRowStripe" dxfId="20"/>
    </tableStyle>
    <tableStyle name="KH đã lắp đặt-style 6" pivot="0" count="2" xr9:uid="{00000000-0011-0000-FFFF-FFFF05000000}">
      <tableStyleElement type="firstRowStripe" dxfId="19"/>
      <tableStyleElement type="secondRowStripe" dxfId="18"/>
    </tableStyle>
    <tableStyle name="KH đã lắp đặt-style 7" pivot="0" count="2" xr9:uid="{00000000-0011-0000-FFFF-FFFF06000000}">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CB8B9CA-6578-4DEC-94DD-EB3B2248410E}" name="Bảng_1162325" displayName="Bảng_1162325" ref="A1:J1" headerRowCount="0" headerRowDxfId="15" dataDxfId="14" totalsRowDxfId="13">
  <tableColumns count="10">
    <tableColumn id="1" xr3:uid="{34E298F6-41A5-4A24-BC39-DFCD68082CFE}" name="Column1" dataDxfId="12"/>
    <tableColumn id="2" xr3:uid="{B7A6A87E-1D7E-4C50-B083-45A9E372AB41}" name="Column2" dataDxfId="11"/>
    <tableColumn id="3" xr3:uid="{D6A048F5-68E8-4F7F-B052-C8AB252584E0}" name="Column3" dataDxfId="10"/>
    <tableColumn id="4" xr3:uid="{76C993B4-EB7A-4F39-BED7-A3D4B349AD9B}" name="Column4" dataDxfId="9"/>
    <tableColumn id="5" xr3:uid="{6EE2E921-862B-4D64-8015-E7A65CC0C9B6}" name="Column5" dataDxfId="8"/>
    <tableColumn id="6" xr3:uid="{A5F7F381-AC73-46B5-9958-31225A9AC899}" name="Column6" dataDxfId="7"/>
    <tableColumn id="7" xr3:uid="{6C6D164F-18FC-42BA-9B0F-0BB0DD52B7D7}" name="Column7" dataDxfId="6"/>
    <tableColumn id="8" xr3:uid="{2E61454B-0762-4F8D-BD20-2C47A09E663B}" name="Column8" dataDxfId="5"/>
    <tableColumn id="9" xr3:uid="{ABA7FE57-C809-4A71-A5C1-54AEDD371FD3}" name="Column9" dataDxfId="4"/>
    <tableColumn id="10" xr3:uid="{373336E8-1D03-4402-B8FE-71DD7A52361A}" name="Column10" dataDxfId="3"/>
  </tableColumns>
  <tableStyleInfo name="KH đã lắp đặ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5393190-672F-467F-AFDB-2E45ACA74317}" name="Table_1172426" displayName="Table_1172426" ref="E2:J321" headerRowCount="0">
  <tableColumns count="6">
    <tableColumn id="1" xr3:uid="{36D5ECA7-C678-47BC-8B97-531A589F59A4}" name="Column1"/>
    <tableColumn id="2" xr3:uid="{5F2250FE-2EBC-424B-A1B9-2B62A0F150EC}" name="Column2"/>
    <tableColumn id="3" xr3:uid="{7C975C52-02F8-4E43-AAC2-712843B24E72}" name="Column3">
      <calculatedColumnFormula>F2</calculatedColumnFormula>
    </tableColumn>
    <tableColumn id="4" xr3:uid="{6B4B3667-3BB6-4566-BB7B-46EFBDE9D20E}" name="Column4" dataDxfId="2"/>
    <tableColumn id="5" xr3:uid="{3C7103DD-20CE-4EC6-8799-553CA886C0CA}" name="Column5" dataDxfId="1">
      <calculatedColumnFormula>IF($E2="","",IFERROR(IF(N($H2)&lt;&gt;0,"Chưa thanh toán đủ","Đã thanh toán đủ"),""))</calculatedColumnFormula>
    </tableColumn>
    <tableColumn id="6" xr3:uid="{D077030C-E813-4C5E-8F2E-505D176039D0}" name="Column6" dataDxfId="0" dataCellStyle="Dấu phẩy">
      <calculatedColumnFormula array="1">IF($E2="","",IFERROR(_xlfn.IFS($D2="trọn gói",$F2*1%,$D2="tự lắp",$F2*0.8%,$D2="phân phối",$F2*0.2%),""))</calculatedColumnFormula>
    </tableColumn>
  </tableColumns>
  <tableStyleInfo name="KH đã lắp đặt-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7"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C69C6E-7CF0-4F19-98B7-B9436DD02A6B}">
  <we:reference id="wa200009404" version="1.0.0.8" store="en-US" storeType="OMEX"/>
  <we:alternateReferences>
    <we:reference id="wa200009404" version="1.0.0.8" store="en-US" storeType="OMEX"/>
  </we:alternateReferences>
  <we:properties>
    <we:property name="claude.fileId" value="&quot;0e3b7740-9ce2-40fd-a080-aa03c6ed382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29CD3-2069-4EEF-984F-6B550EC2D96F}">
  <sheetPr>
    <outlinePr summaryBelow="0" summaryRight="0"/>
    <pageSetUpPr fitToPage="1"/>
  </sheetPr>
  <dimension ref="A1:Z321"/>
  <sheetViews>
    <sheetView tabSelected="1" zoomScale="64" zoomScaleNormal="64" workbookViewId="0">
      <pane ySplit="1" topLeftCell="A2" activePane="bottomLeft" state="frozen"/>
      <selection pane="bottomLeft" activeCell="L8" sqref="L8"/>
    </sheetView>
  </sheetViews>
  <sheetFormatPr defaultColWidth="12.6328125" defaultRowHeight="15.75" customHeight="1"/>
  <cols>
    <col min="1" max="1" width="11.08984375" bestFit="1" customWidth="1"/>
    <col min="2" max="2" width="14.90625" bestFit="1" customWidth="1"/>
    <col min="3" max="3" width="11.7265625" bestFit="1" customWidth="1"/>
    <col min="4" max="4" width="9.08984375" bestFit="1" customWidth="1"/>
    <col min="5" max="5" width="47.08984375" customWidth="1"/>
    <col min="6" max="6" width="14.26953125" bestFit="1" customWidth="1"/>
    <col min="7" max="7" width="13.81640625" bestFit="1" customWidth="1"/>
    <col min="8" max="8" width="14.26953125" bestFit="1" customWidth="1"/>
    <col min="9" max="9" width="15.08984375" bestFit="1" customWidth="1"/>
    <col min="10" max="10" width="16.453125" customWidth="1"/>
    <col min="11" max="11" width="37.36328125" bestFit="1" customWidth="1"/>
  </cols>
  <sheetData>
    <row r="1" spans="1:26" s="27" customFormat="1" ht="22.5" customHeight="1">
      <c r="A1" s="2" t="s">
        <v>0</v>
      </c>
      <c r="B1" s="2" t="s">
        <v>484</v>
      </c>
      <c r="C1" s="2" t="s">
        <v>1</v>
      </c>
      <c r="D1" s="2" t="s">
        <v>2</v>
      </c>
      <c r="E1" s="3" t="s">
        <v>3</v>
      </c>
      <c r="F1" s="2" t="s">
        <v>482</v>
      </c>
      <c r="G1" s="2" t="s">
        <v>483</v>
      </c>
      <c r="H1" s="2" t="s">
        <v>481</v>
      </c>
      <c r="I1" s="2" t="s">
        <v>4</v>
      </c>
      <c r="J1" s="2" t="s">
        <v>485</v>
      </c>
      <c r="K1" s="2" t="s">
        <v>5</v>
      </c>
      <c r="L1" s="26"/>
      <c r="M1" s="26"/>
      <c r="N1" s="26"/>
      <c r="O1" s="26"/>
      <c r="P1" s="26"/>
      <c r="Q1" s="26"/>
      <c r="R1" s="26"/>
      <c r="S1" s="26"/>
      <c r="T1" s="26"/>
      <c r="U1" s="26"/>
      <c r="V1" s="26"/>
      <c r="W1" s="26"/>
      <c r="X1" s="26"/>
      <c r="Y1" s="26"/>
      <c r="Z1" s="26"/>
    </row>
    <row r="2" spans="1:26" ht="25">
      <c r="A2" s="4" t="s">
        <v>6</v>
      </c>
      <c r="B2" s="5" t="s">
        <v>7</v>
      </c>
      <c r="C2" s="4" t="s">
        <v>8</v>
      </c>
      <c r="D2" s="4" t="s">
        <v>148</v>
      </c>
      <c r="E2" s="6" t="s">
        <v>9</v>
      </c>
      <c r="F2" s="7">
        <v>6552000</v>
      </c>
      <c r="G2" s="7">
        <f t="shared" ref="G2:G5" si="0">F2</f>
        <v>6552000</v>
      </c>
      <c r="H2" s="33"/>
      <c r="I2" s="8" t="str">
        <f>IF($E2="","",IFERROR(IF(N($H2)&lt;&gt;0,"Chưa thanh toán đủ","Đã thanh toán đủ"),""))</f>
        <v>Đã thanh toán đủ</v>
      </c>
      <c r="J2" s="29" cm="1">
        <f t="array" ref="J2">IF($E2="","",IFERROR(_xlfn.IFS($D2="trọn gói",$F2*1%,$D2="tự lắp",$F2*0.8%,$D2="phân phối",$F2*0.2%),""))</f>
        <v>13104</v>
      </c>
      <c r="K2" s="8" t="s">
        <v>10</v>
      </c>
      <c r="L2" s="1"/>
      <c r="M2" s="1"/>
      <c r="N2" s="1"/>
      <c r="O2" s="1"/>
      <c r="P2" s="1"/>
      <c r="Q2" s="1"/>
      <c r="R2" s="1"/>
      <c r="S2" s="1"/>
      <c r="T2" s="1"/>
      <c r="U2" s="1"/>
      <c r="V2" s="1"/>
      <c r="W2" s="1"/>
      <c r="X2" s="1"/>
      <c r="Y2" s="1"/>
      <c r="Z2" s="1"/>
    </row>
    <row r="3" spans="1:26" ht="37.5">
      <c r="A3" s="4" t="s">
        <v>6</v>
      </c>
      <c r="B3" s="5" t="s">
        <v>7</v>
      </c>
      <c r="C3" s="4" t="s">
        <v>8</v>
      </c>
      <c r="D3" s="4" t="s">
        <v>479</v>
      </c>
      <c r="E3" s="6" t="s">
        <v>11</v>
      </c>
      <c r="F3" s="7">
        <f>22192000</f>
        <v>22192000</v>
      </c>
      <c r="G3" s="7">
        <f t="shared" si="0"/>
        <v>22192000</v>
      </c>
      <c r="H3" s="33"/>
      <c r="I3" s="8" t="str">
        <f>IF($E3="","",IFERROR(IF(N($H3)&lt;&gt;0,"Chưa thanh toán đủ","Đã thanh toán đủ"),""))</f>
        <v>Đã thanh toán đủ</v>
      </c>
      <c r="J3" s="29" cm="1">
        <f t="array" ref="J3">IF($E3="","",IFERROR(_xlfn.IFS($D3="trọn gói",$F3*1%,$D3="tự lắp",$F3*0.8%,$D3="phân phối",$F3*0.2%),""))</f>
        <v>177536</v>
      </c>
      <c r="K3" s="8" t="s">
        <v>12</v>
      </c>
      <c r="L3" s="1"/>
      <c r="M3" s="1"/>
      <c r="N3" s="1"/>
      <c r="O3" s="1"/>
      <c r="P3" s="1"/>
      <c r="Q3" s="1"/>
      <c r="R3" s="1"/>
      <c r="S3" s="1"/>
      <c r="T3" s="1"/>
      <c r="U3" s="1"/>
      <c r="V3" s="1"/>
      <c r="W3" s="1"/>
      <c r="X3" s="1"/>
      <c r="Y3" s="1"/>
      <c r="Z3" s="1"/>
    </row>
    <row r="4" spans="1:26" ht="25">
      <c r="A4" s="4" t="s">
        <v>6</v>
      </c>
      <c r="B4" s="5" t="s">
        <v>7</v>
      </c>
      <c r="C4" s="4" t="s">
        <v>8</v>
      </c>
      <c r="D4" s="4" t="s">
        <v>148</v>
      </c>
      <c r="E4" s="6" t="s">
        <v>13</v>
      </c>
      <c r="F4" s="7">
        <v>52635000</v>
      </c>
      <c r="G4" s="7">
        <f t="shared" si="0"/>
        <v>52635000</v>
      </c>
      <c r="H4" s="33"/>
      <c r="I4" s="8" t="str">
        <f>IF($E4="","",IFERROR(IF(N($H4)&lt;&gt;0,"Chưa thanh toán đủ","Đã thanh toán đủ"),""))</f>
        <v>Đã thanh toán đủ</v>
      </c>
      <c r="J4" s="29" cm="1">
        <f t="array" ref="J4">IF($E4="","",IFERROR(_xlfn.IFS($D4="trọn gói",$F4*1%,$D4="tự lắp",$F4*0.8%,$D4="phân phối",$F4*0.2%),""))</f>
        <v>105270</v>
      </c>
      <c r="K4" s="8" t="s">
        <v>14</v>
      </c>
      <c r="L4" s="1"/>
      <c r="M4" s="1"/>
      <c r="N4" s="1"/>
      <c r="O4" s="1"/>
      <c r="P4" s="1"/>
      <c r="Q4" s="1"/>
      <c r="R4" s="1"/>
      <c r="S4" s="1"/>
      <c r="T4" s="1"/>
      <c r="U4" s="1"/>
      <c r="V4" s="1"/>
      <c r="W4" s="1"/>
      <c r="X4" s="1"/>
      <c r="Y4" s="1"/>
      <c r="Z4" s="1"/>
    </row>
    <row r="5" spans="1:26" ht="25">
      <c r="A5" s="4" t="s">
        <v>6</v>
      </c>
      <c r="B5" s="5" t="s">
        <v>7</v>
      </c>
      <c r="C5" s="4" t="s">
        <v>8</v>
      </c>
      <c r="D5" s="4" t="s">
        <v>479</v>
      </c>
      <c r="E5" s="6" t="s">
        <v>15</v>
      </c>
      <c r="F5" s="7">
        <v>23870000</v>
      </c>
      <c r="G5" s="7">
        <f t="shared" si="0"/>
        <v>23870000</v>
      </c>
      <c r="H5" s="33"/>
      <c r="I5" s="8" t="str">
        <f>IF($E5="","",IFERROR(IF(N($H5)&lt;&gt;0,"Chưa thanh toán đủ","Đã thanh toán đủ"),""))</f>
        <v>Đã thanh toán đủ</v>
      </c>
      <c r="J5" s="29" cm="1">
        <f t="array" ref="J5">IF($E5="","",IFERROR(_xlfn.IFS($D5="trọn gói",$F5*1%,$D5="tự lắp",$F5*0.8%,$D5="phân phối",$F5*0.2%),""))</f>
        <v>190960</v>
      </c>
      <c r="K5" s="8" t="s">
        <v>16</v>
      </c>
      <c r="L5" s="1"/>
      <c r="M5" s="1"/>
      <c r="N5" s="1"/>
      <c r="O5" s="1"/>
      <c r="P5" s="1"/>
      <c r="Q5" s="1"/>
      <c r="R5" s="1"/>
      <c r="S5" s="1"/>
      <c r="T5" s="1"/>
      <c r="U5" s="1"/>
      <c r="V5" s="1"/>
      <c r="W5" s="1"/>
      <c r="X5" s="1"/>
      <c r="Y5" s="1"/>
      <c r="Z5" s="1"/>
    </row>
    <row r="6" spans="1:26" ht="37.5">
      <c r="A6" s="4" t="s">
        <v>6</v>
      </c>
      <c r="B6" s="5" t="s">
        <v>7</v>
      </c>
      <c r="C6" s="4" t="s">
        <v>8</v>
      </c>
      <c r="D6" s="4" t="s">
        <v>480</v>
      </c>
      <c r="E6" s="6" t="s">
        <v>17</v>
      </c>
      <c r="F6" s="7">
        <v>125000000</v>
      </c>
      <c r="G6" s="7">
        <v>125000000</v>
      </c>
      <c r="H6" s="33"/>
      <c r="I6" s="8" t="str">
        <f>IF($E6="","",IFERROR(IF(N($H6)&lt;&gt;0,"Chưa thanh toán đủ","Đã thanh toán đủ"),""))</f>
        <v>Đã thanh toán đủ</v>
      </c>
      <c r="J6" s="29" cm="1">
        <f t="array" ref="J6">IF($E6="","",IFERROR(_xlfn.IFS($D6="trọn gói",$F6*1%,$D6="tự lắp",$F6*0.8%,$D6="phân phối",$F6*0.2%),""))</f>
        <v>1250000</v>
      </c>
      <c r="K6" s="8" t="s">
        <v>18</v>
      </c>
      <c r="L6" s="1"/>
      <c r="M6" s="1"/>
      <c r="N6" s="1"/>
      <c r="O6" s="1"/>
      <c r="P6" s="1"/>
      <c r="Q6" s="1"/>
      <c r="R6" s="1"/>
      <c r="S6" s="1"/>
      <c r="T6" s="1"/>
      <c r="U6" s="1"/>
      <c r="V6" s="1"/>
      <c r="W6" s="1"/>
      <c r="X6" s="1"/>
      <c r="Y6" s="1"/>
      <c r="Z6" s="1"/>
    </row>
    <row r="7" spans="1:26" ht="37.5">
      <c r="A7" s="4" t="s">
        <v>6</v>
      </c>
      <c r="B7" s="5" t="s">
        <v>7</v>
      </c>
      <c r="C7" s="4" t="s">
        <v>8</v>
      </c>
      <c r="D7" s="4" t="s">
        <v>479</v>
      </c>
      <c r="E7" s="6" t="s">
        <v>19</v>
      </c>
      <c r="F7" s="7">
        <v>31907000</v>
      </c>
      <c r="G7" s="7">
        <v>31907000</v>
      </c>
      <c r="H7" s="33"/>
      <c r="I7" s="8" t="str">
        <f>IF($E7="","",IFERROR(IF(N($H7)&lt;&gt;0,"Chưa thanh toán đủ","Đã thanh toán đủ"),""))</f>
        <v>Đã thanh toán đủ</v>
      </c>
      <c r="J7" s="29" cm="1">
        <f t="array" ref="J7">IF($E7="","",IFERROR(_xlfn.IFS($D7="trọn gói",$F7*1%,$D7="tự lắp",$F7*0.8%,$D7="phân phối",$F7*0.2%),""))</f>
        <v>255256</v>
      </c>
      <c r="K7" s="8" t="s">
        <v>20</v>
      </c>
      <c r="L7" s="1"/>
      <c r="M7" s="1"/>
      <c r="N7" s="1"/>
      <c r="O7" s="1"/>
      <c r="P7" s="1"/>
      <c r="Q7" s="1"/>
      <c r="R7" s="1"/>
      <c r="S7" s="1"/>
      <c r="T7" s="1"/>
      <c r="U7" s="1"/>
      <c r="V7" s="1"/>
      <c r="W7" s="1"/>
      <c r="X7" s="1"/>
      <c r="Y7" s="1"/>
      <c r="Z7" s="1"/>
    </row>
    <row r="8" spans="1:26" ht="50">
      <c r="A8" s="4" t="s">
        <v>6</v>
      </c>
      <c r="B8" s="5" t="s">
        <v>7</v>
      </c>
      <c r="C8" s="4" t="s">
        <v>8</v>
      </c>
      <c r="D8" s="4" t="s">
        <v>479</v>
      </c>
      <c r="E8" s="6" t="s">
        <v>21</v>
      </c>
      <c r="F8" s="7">
        <v>230000000</v>
      </c>
      <c r="G8" s="7">
        <v>230000000</v>
      </c>
      <c r="H8" s="33"/>
      <c r="I8" s="8" t="str">
        <f>IF($E8="","",IFERROR(IF(N($H8)&lt;&gt;0,"Chưa thanh toán đủ","Đã thanh toán đủ"),""))</f>
        <v>Đã thanh toán đủ</v>
      </c>
      <c r="J8" s="29" cm="1">
        <f t="array" ref="J8">IF($E8="","",IFERROR(_xlfn.IFS($D8="trọn gói",$F8*1%,$D8="tự lắp",$F8*0.8%,$D8="phân phối",$F8*0.2%),""))</f>
        <v>1840000</v>
      </c>
      <c r="K8" s="8" t="s">
        <v>22</v>
      </c>
      <c r="L8" s="1"/>
      <c r="M8" s="1"/>
      <c r="N8" s="1"/>
      <c r="O8" s="1"/>
      <c r="P8" s="1"/>
      <c r="Q8" s="1"/>
      <c r="R8" s="1"/>
      <c r="S8" s="1"/>
      <c r="T8" s="1"/>
      <c r="U8" s="1"/>
      <c r="V8" s="1"/>
      <c r="W8" s="1"/>
      <c r="X8" s="1"/>
      <c r="Y8" s="1"/>
      <c r="Z8" s="1"/>
    </row>
    <row r="9" spans="1:26" ht="37.5">
      <c r="A9" s="4" t="s">
        <v>6</v>
      </c>
      <c r="B9" s="5" t="s">
        <v>7</v>
      </c>
      <c r="C9" s="4" t="s">
        <v>23</v>
      </c>
      <c r="D9" s="4" t="s">
        <v>480</v>
      </c>
      <c r="E9" s="6" t="s">
        <v>24</v>
      </c>
      <c r="F9" s="7">
        <v>98800000</v>
      </c>
      <c r="G9" s="7">
        <v>5000000</v>
      </c>
      <c r="H9" s="33"/>
      <c r="I9" s="8" t="str">
        <f>IF($E9="","",IFERROR(IF(N($H9)&lt;&gt;0,"Chưa thanh toán đủ","Đã thanh toán đủ"),""))</f>
        <v>Đã thanh toán đủ</v>
      </c>
      <c r="J9" s="29" cm="1">
        <f t="array" ref="J9">IF($E9="","",IFERROR(_xlfn.IFS($D9="trọn gói",$F9*1%,$D9="tự lắp",$F9*0.8%,$D9="phân phối",$F9*0.2%),""))</f>
        <v>988000</v>
      </c>
      <c r="K9" s="8" t="s">
        <v>25</v>
      </c>
      <c r="L9" s="1"/>
      <c r="M9" s="1"/>
      <c r="N9" s="1"/>
      <c r="O9" s="1"/>
      <c r="P9" s="1"/>
      <c r="Q9" s="1"/>
      <c r="R9" s="1"/>
      <c r="S9" s="1"/>
      <c r="T9" s="1"/>
      <c r="U9" s="1"/>
      <c r="V9" s="1"/>
      <c r="W9" s="1"/>
      <c r="X9" s="1"/>
      <c r="Y9" s="1"/>
      <c r="Z9" s="1"/>
    </row>
    <row r="10" spans="1:26" ht="37.5">
      <c r="A10" s="4" t="s">
        <v>6</v>
      </c>
      <c r="B10" s="5" t="s">
        <v>7</v>
      </c>
      <c r="C10" s="4" t="s">
        <v>8</v>
      </c>
      <c r="D10" s="4" t="s">
        <v>479</v>
      </c>
      <c r="E10" s="6" t="s">
        <v>26</v>
      </c>
      <c r="F10" s="7">
        <v>12000000</v>
      </c>
      <c r="G10" s="7">
        <v>12000000</v>
      </c>
      <c r="H10" s="33"/>
      <c r="I10" s="8" t="str">
        <f>IF($E10="","",IFERROR(IF(N($H10)&lt;&gt;0,"Chưa thanh toán đủ","Đã thanh toán đủ"),""))</f>
        <v>Đã thanh toán đủ</v>
      </c>
      <c r="J10" s="29" cm="1">
        <f t="array" ref="J10">IF($E10="","",IFERROR(_xlfn.IFS($D10="trọn gói",$F10*1%,$D10="tự lắp",$F10*0.8%,$D10="phân phối",$F10*0.2%),""))</f>
        <v>96000</v>
      </c>
      <c r="K10" s="8" t="s">
        <v>27</v>
      </c>
      <c r="L10" s="1"/>
      <c r="M10" s="1"/>
      <c r="N10" s="1"/>
      <c r="O10" s="1"/>
      <c r="P10" s="1"/>
      <c r="Q10" s="1"/>
      <c r="R10" s="1"/>
      <c r="S10" s="1"/>
      <c r="T10" s="1"/>
      <c r="U10" s="1"/>
      <c r="V10" s="1"/>
      <c r="W10" s="1"/>
      <c r="X10" s="1"/>
      <c r="Y10" s="1"/>
      <c r="Z10" s="1"/>
    </row>
    <row r="11" spans="1:26" ht="37.5">
      <c r="A11" s="4" t="s">
        <v>6</v>
      </c>
      <c r="B11" s="5" t="s">
        <v>7</v>
      </c>
      <c r="C11" s="4" t="s">
        <v>8</v>
      </c>
      <c r="D11" s="4" t="s">
        <v>479</v>
      </c>
      <c r="E11" s="6" t="s">
        <v>28</v>
      </c>
      <c r="F11" s="7">
        <v>44266900</v>
      </c>
      <c r="G11" s="7">
        <f t="shared" ref="G11:G12" si="1">F11</f>
        <v>44266900</v>
      </c>
      <c r="H11" s="33"/>
      <c r="I11" s="8" t="str">
        <f>IF($E11="","",IFERROR(IF(N($H11)&lt;&gt;0,"Chưa thanh toán đủ","Đã thanh toán đủ"),""))</f>
        <v>Đã thanh toán đủ</v>
      </c>
      <c r="J11" s="29" cm="1">
        <f t="array" ref="J11">IF($E11="","",IFERROR(_xlfn.IFS($D11="trọn gói",$F11*1%,$D11="tự lắp",$F11*0.8%,$D11="phân phối",$F11*0.2%),""))</f>
        <v>354135.2</v>
      </c>
      <c r="K11" s="8" t="s">
        <v>29</v>
      </c>
      <c r="L11" s="1"/>
      <c r="M11" s="1"/>
      <c r="N11" s="1"/>
      <c r="O11" s="1"/>
      <c r="P11" s="1"/>
      <c r="Q11" s="1"/>
      <c r="R11" s="1"/>
      <c r="S11" s="1"/>
      <c r="T11" s="1"/>
      <c r="U11" s="1"/>
      <c r="V11" s="1"/>
      <c r="W11" s="1"/>
      <c r="X11" s="1"/>
      <c r="Y11" s="1"/>
      <c r="Z11" s="1"/>
    </row>
    <row r="12" spans="1:26" ht="50">
      <c r="A12" s="4" t="s">
        <v>6</v>
      </c>
      <c r="B12" s="5" t="s">
        <v>7</v>
      </c>
      <c r="C12" s="4" t="s">
        <v>8</v>
      </c>
      <c r="D12" s="4" t="s">
        <v>480</v>
      </c>
      <c r="E12" s="6" t="s">
        <v>30</v>
      </c>
      <c r="F12" s="7">
        <v>167000000</v>
      </c>
      <c r="G12" s="7">
        <f t="shared" si="1"/>
        <v>167000000</v>
      </c>
      <c r="H12" s="33"/>
      <c r="I12" s="8" t="str">
        <f>IF($E12="","",IFERROR(IF(N($H12)&lt;&gt;0,"Chưa thanh toán đủ","Đã thanh toán đủ"),""))</f>
        <v>Đã thanh toán đủ</v>
      </c>
      <c r="J12" s="29" cm="1">
        <f t="array" ref="J12">IF($E12="","",IFERROR(_xlfn.IFS($D12="trọn gói",$F12*1%,$D12="tự lắp",$F12*0.8%,$D12="phân phối",$F12*0.2%),""))</f>
        <v>1670000</v>
      </c>
      <c r="K12" s="8" t="s">
        <v>31</v>
      </c>
      <c r="L12" s="1"/>
      <c r="M12" s="1"/>
      <c r="N12" s="1"/>
      <c r="O12" s="1"/>
      <c r="P12" s="1"/>
      <c r="Q12" s="1"/>
      <c r="R12" s="1"/>
      <c r="S12" s="1"/>
      <c r="T12" s="1"/>
      <c r="U12" s="1"/>
      <c r="V12" s="1"/>
      <c r="W12" s="1"/>
      <c r="X12" s="1"/>
      <c r="Y12" s="1"/>
      <c r="Z12" s="1"/>
    </row>
    <row r="13" spans="1:26" ht="37.5">
      <c r="A13" s="4" t="s">
        <v>6</v>
      </c>
      <c r="B13" s="5" t="s">
        <v>7</v>
      </c>
      <c r="C13" s="4" t="s">
        <v>8</v>
      </c>
      <c r="D13" s="4" t="s">
        <v>479</v>
      </c>
      <c r="E13" s="6" t="s">
        <v>32</v>
      </c>
      <c r="F13" s="7">
        <v>222676000</v>
      </c>
      <c r="G13" s="7">
        <v>222676000</v>
      </c>
      <c r="H13" s="33"/>
      <c r="I13" s="8" t="str">
        <f>IF($E13="","",IFERROR(IF(N($H13)&lt;&gt;0,"Chưa thanh toán đủ","Đã thanh toán đủ"),""))</f>
        <v>Đã thanh toán đủ</v>
      </c>
      <c r="J13" s="29" cm="1">
        <f t="array" ref="J13">IF($E13="","",IFERROR(_xlfn.IFS($D13="trọn gói",$F13*1%,$D13="tự lắp",$F13*0.8%,$D13="phân phối",$F13*0.2%),""))</f>
        <v>1781408</v>
      </c>
      <c r="K13" s="8" t="s">
        <v>33</v>
      </c>
      <c r="L13" s="1"/>
      <c r="M13" s="1"/>
      <c r="N13" s="1"/>
      <c r="O13" s="1"/>
      <c r="P13" s="1"/>
      <c r="Q13" s="1"/>
      <c r="R13" s="1"/>
      <c r="S13" s="1"/>
      <c r="T13" s="1"/>
      <c r="U13" s="1"/>
      <c r="V13" s="1"/>
      <c r="W13" s="1"/>
      <c r="X13" s="1"/>
      <c r="Y13" s="1"/>
      <c r="Z13" s="1"/>
    </row>
    <row r="14" spans="1:26" ht="37.5">
      <c r="A14" s="4" t="s">
        <v>6</v>
      </c>
      <c r="B14" s="5" t="s">
        <v>7</v>
      </c>
      <c r="C14" s="4" t="s">
        <v>8</v>
      </c>
      <c r="D14" s="4" t="s">
        <v>148</v>
      </c>
      <c r="E14" s="6" t="s">
        <v>34</v>
      </c>
      <c r="F14" s="7">
        <f>69000000+14500000</f>
        <v>83500000</v>
      </c>
      <c r="G14" s="7">
        <f t="shared" ref="G14:G16" si="2">F14</f>
        <v>83500000</v>
      </c>
      <c r="H14" s="33"/>
      <c r="I14" s="8" t="str">
        <f>IF($E14="","",IFERROR(IF(N($H14)&lt;&gt;0,"Chưa thanh toán đủ","Đã thanh toán đủ"),""))</f>
        <v>Đã thanh toán đủ</v>
      </c>
      <c r="J14" s="29" cm="1">
        <f t="array" ref="J14">IF($E14="","",IFERROR(_xlfn.IFS($D14="trọn gói",$F14*1%,$D14="tự lắp",$F14*0.8%,$D14="phân phối",$F14*0.2%),""))</f>
        <v>167000</v>
      </c>
      <c r="K14" s="8" t="s">
        <v>35</v>
      </c>
      <c r="L14" s="1"/>
      <c r="M14" s="1"/>
      <c r="N14" s="1"/>
      <c r="O14" s="1"/>
      <c r="P14" s="1"/>
      <c r="Q14" s="1"/>
      <c r="R14" s="1"/>
      <c r="S14" s="1"/>
      <c r="T14" s="1"/>
      <c r="U14" s="1"/>
      <c r="V14" s="1"/>
      <c r="W14" s="1"/>
      <c r="X14" s="1"/>
      <c r="Y14" s="1"/>
      <c r="Z14" s="1"/>
    </row>
    <row r="15" spans="1:26" ht="37.5">
      <c r="A15" s="4" t="s">
        <v>6</v>
      </c>
      <c r="B15" s="5" t="s">
        <v>7</v>
      </c>
      <c r="C15" s="4" t="s">
        <v>8</v>
      </c>
      <c r="D15" s="4" t="s">
        <v>479</v>
      </c>
      <c r="E15" s="6" t="s">
        <v>36</v>
      </c>
      <c r="F15" s="7">
        <v>41977500</v>
      </c>
      <c r="G15" s="7">
        <f t="shared" si="2"/>
        <v>41977500</v>
      </c>
      <c r="H15" s="33"/>
      <c r="I15" s="8" t="str">
        <f>IF($E15="","",IFERROR(IF(N($H15)&lt;&gt;0,"Chưa thanh toán đủ","Đã thanh toán đủ"),""))</f>
        <v>Đã thanh toán đủ</v>
      </c>
      <c r="J15" s="29" cm="1">
        <f t="array" ref="J15">IF($E15="","",IFERROR(_xlfn.IFS($D15="trọn gói",$F15*1%,$D15="tự lắp",$F15*0.8%,$D15="phân phối",$F15*0.2%),""))</f>
        <v>335820</v>
      </c>
      <c r="K15" s="8" t="s">
        <v>37</v>
      </c>
      <c r="L15" s="1"/>
      <c r="M15" s="1"/>
      <c r="N15" s="1"/>
      <c r="O15" s="1"/>
      <c r="P15" s="1"/>
      <c r="Q15" s="1"/>
      <c r="R15" s="1"/>
      <c r="S15" s="1"/>
      <c r="T15" s="1"/>
      <c r="U15" s="1"/>
      <c r="V15" s="1"/>
      <c r="W15" s="1"/>
      <c r="X15" s="1"/>
      <c r="Y15" s="1"/>
      <c r="Z15" s="1"/>
    </row>
    <row r="16" spans="1:26" ht="25">
      <c r="A16" s="4" t="s">
        <v>6</v>
      </c>
      <c r="B16" s="5" t="s">
        <v>7</v>
      </c>
      <c r="C16" s="4" t="s">
        <v>8</v>
      </c>
      <c r="D16" s="4" t="s">
        <v>479</v>
      </c>
      <c r="E16" s="6" t="s">
        <v>38</v>
      </c>
      <c r="F16" s="7">
        <v>14040000</v>
      </c>
      <c r="G16" s="7">
        <f t="shared" si="2"/>
        <v>14040000</v>
      </c>
      <c r="H16" s="33"/>
      <c r="I16" s="8" t="str">
        <f>IF($E16="","",IFERROR(IF(N($H16)&lt;&gt;0,"Chưa thanh toán đủ","Đã thanh toán đủ"),""))</f>
        <v>Đã thanh toán đủ</v>
      </c>
      <c r="J16" s="29" cm="1">
        <f t="array" ref="J16">IF($E16="","",IFERROR(_xlfn.IFS($D16="trọn gói",$F16*1%,$D16="tự lắp",$F16*0.8%,$D16="phân phối",$F16*0.2%),""))</f>
        <v>112320</v>
      </c>
      <c r="K16" s="8" t="s">
        <v>39</v>
      </c>
      <c r="L16" s="1"/>
      <c r="M16" s="1"/>
      <c r="N16" s="1"/>
      <c r="O16" s="1"/>
      <c r="P16" s="1"/>
      <c r="Q16" s="1"/>
      <c r="R16" s="1"/>
      <c r="S16" s="1"/>
      <c r="T16" s="1"/>
      <c r="U16" s="1"/>
      <c r="V16" s="1"/>
      <c r="W16" s="1"/>
      <c r="X16" s="1"/>
      <c r="Y16" s="1"/>
      <c r="Z16" s="1"/>
    </row>
    <row r="17" spans="1:26" ht="25">
      <c r="A17" s="4" t="s">
        <v>6</v>
      </c>
      <c r="B17" s="5" t="s">
        <v>7</v>
      </c>
      <c r="C17" s="4" t="s">
        <v>8</v>
      </c>
      <c r="D17" s="4" t="s">
        <v>480</v>
      </c>
      <c r="E17" s="6" t="s">
        <v>40</v>
      </c>
      <c r="F17" s="7">
        <v>22973880</v>
      </c>
      <c r="G17" s="7">
        <v>22973880</v>
      </c>
      <c r="H17" s="33"/>
      <c r="I17" s="8" t="str">
        <f>IF($E17="","",IFERROR(IF(N($H17)&lt;&gt;0,"Chưa thanh toán đủ","Đã thanh toán đủ"),""))</f>
        <v>Đã thanh toán đủ</v>
      </c>
      <c r="J17" s="29" cm="1">
        <f t="array" ref="J17">IF($E17="","",IFERROR(_xlfn.IFS($D17="trọn gói",$F17*1%,$D17="tự lắp",$F17*0.8%,$D17="phân phối",$F17*0.2%),""))</f>
        <v>229738.80000000002</v>
      </c>
      <c r="K17" s="8" t="s">
        <v>41</v>
      </c>
      <c r="L17" s="1"/>
      <c r="M17" s="1"/>
      <c r="N17" s="1"/>
      <c r="O17" s="1"/>
      <c r="P17" s="1"/>
      <c r="Q17" s="1"/>
      <c r="R17" s="1"/>
      <c r="S17" s="1"/>
      <c r="T17" s="1"/>
      <c r="U17" s="1"/>
      <c r="V17" s="1"/>
      <c r="W17" s="1"/>
      <c r="X17" s="1"/>
      <c r="Y17" s="1"/>
      <c r="Z17" s="1"/>
    </row>
    <row r="18" spans="1:26" ht="37.5">
      <c r="A18" s="4" t="s">
        <v>42</v>
      </c>
      <c r="B18" s="5" t="s">
        <v>7</v>
      </c>
      <c r="C18" s="4" t="s">
        <v>8</v>
      </c>
      <c r="D18" s="4" t="s">
        <v>480</v>
      </c>
      <c r="E18" s="6" t="s">
        <v>43</v>
      </c>
      <c r="F18" s="7">
        <v>97000000</v>
      </c>
      <c r="G18" s="7">
        <f t="shared" ref="G18:G26" si="3">F18</f>
        <v>97000000</v>
      </c>
      <c r="H18" s="33"/>
      <c r="I18" s="8" t="str">
        <f>IF($E18="","",IFERROR(IF(N($H18)&lt;&gt;0,"Chưa thanh toán đủ","Đã thanh toán đủ"),""))</f>
        <v>Đã thanh toán đủ</v>
      </c>
      <c r="J18" s="29" cm="1">
        <f t="array" ref="J18">IF($E18="","",IFERROR(_xlfn.IFS($D18="trọn gói",$F18*1%,$D18="tự lắp",$F18*0.8%,$D18="phân phối",$F18*0.2%),""))</f>
        <v>970000</v>
      </c>
      <c r="K18" s="8" t="s">
        <v>44</v>
      </c>
      <c r="L18" s="1"/>
      <c r="M18" s="1"/>
      <c r="N18" s="1"/>
      <c r="O18" s="1"/>
      <c r="P18" s="1"/>
      <c r="Q18" s="1"/>
      <c r="R18" s="1"/>
      <c r="S18" s="1"/>
      <c r="T18" s="1"/>
      <c r="U18" s="1"/>
      <c r="V18" s="1"/>
      <c r="W18" s="1"/>
      <c r="X18" s="1"/>
      <c r="Y18" s="1"/>
      <c r="Z18" s="1"/>
    </row>
    <row r="19" spans="1:26" ht="37.5">
      <c r="A19" s="4" t="s">
        <v>42</v>
      </c>
      <c r="B19" s="5" t="s">
        <v>7</v>
      </c>
      <c r="C19" s="4" t="s">
        <v>8</v>
      </c>
      <c r="D19" s="4" t="s">
        <v>480</v>
      </c>
      <c r="E19" s="6" t="s">
        <v>45</v>
      </c>
      <c r="F19" s="7">
        <v>65000000</v>
      </c>
      <c r="G19" s="7">
        <f t="shared" si="3"/>
        <v>65000000</v>
      </c>
      <c r="H19" s="33"/>
      <c r="I19" s="8" t="str">
        <f>IF($E19="","",IFERROR(IF(N($H19)&lt;&gt;0,"Chưa thanh toán đủ","Đã thanh toán đủ"),""))</f>
        <v>Đã thanh toán đủ</v>
      </c>
      <c r="J19" s="29" cm="1">
        <f t="array" ref="J19">IF($E19="","",IFERROR(_xlfn.IFS($D19="trọn gói",$F19*1%,$D19="tự lắp",$F19*0.8%,$D19="phân phối",$F19*0.2%),""))</f>
        <v>650000</v>
      </c>
      <c r="K19" s="8" t="s">
        <v>46</v>
      </c>
      <c r="L19" s="1"/>
      <c r="M19" s="1"/>
      <c r="N19" s="1"/>
      <c r="O19" s="1"/>
      <c r="P19" s="1"/>
      <c r="Q19" s="1"/>
      <c r="R19" s="1"/>
      <c r="S19" s="1"/>
      <c r="T19" s="1"/>
      <c r="U19" s="1"/>
      <c r="V19" s="1"/>
      <c r="W19" s="1"/>
      <c r="X19" s="1"/>
      <c r="Y19" s="1"/>
      <c r="Z19" s="1"/>
    </row>
    <row r="20" spans="1:26" ht="50">
      <c r="A20" s="4" t="s">
        <v>42</v>
      </c>
      <c r="B20" s="5" t="s">
        <v>7</v>
      </c>
      <c r="C20" s="4" t="s">
        <v>8</v>
      </c>
      <c r="D20" s="4" t="s">
        <v>480</v>
      </c>
      <c r="E20" s="6" t="s">
        <v>47</v>
      </c>
      <c r="F20" s="7">
        <v>104877680</v>
      </c>
      <c r="G20" s="7">
        <f t="shared" si="3"/>
        <v>104877680</v>
      </c>
      <c r="H20" s="33"/>
      <c r="I20" s="8" t="str">
        <f>IF($E20="","",IFERROR(IF(N($H20)&lt;&gt;0,"Chưa thanh toán đủ","Đã thanh toán đủ"),""))</f>
        <v>Đã thanh toán đủ</v>
      </c>
      <c r="J20" s="29" cm="1">
        <f t="array" ref="J20">IF($E20="","",IFERROR(_xlfn.IFS($D20="trọn gói",$F20*1%,$D20="tự lắp",$F20*0.8%,$D20="phân phối",$F20*0.2%),""))</f>
        <v>1048776.8</v>
      </c>
      <c r="K20" s="8" t="s">
        <v>48</v>
      </c>
      <c r="L20" s="1"/>
      <c r="M20" s="1"/>
      <c r="N20" s="1"/>
      <c r="O20" s="1"/>
      <c r="P20" s="1"/>
      <c r="Q20" s="1"/>
      <c r="R20" s="1"/>
      <c r="S20" s="1"/>
      <c r="T20" s="1"/>
      <c r="U20" s="1"/>
      <c r="V20" s="1"/>
      <c r="W20" s="1"/>
      <c r="X20" s="1"/>
      <c r="Y20" s="1"/>
      <c r="Z20" s="1"/>
    </row>
    <row r="21" spans="1:26" ht="37.5">
      <c r="A21" s="4" t="s">
        <v>49</v>
      </c>
      <c r="B21" s="5" t="s">
        <v>7</v>
      </c>
      <c r="C21" s="4" t="s">
        <v>23</v>
      </c>
      <c r="D21" s="4" t="s">
        <v>480</v>
      </c>
      <c r="E21" s="6" t="s">
        <v>50</v>
      </c>
      <c r="F21" s="7">
        <v>129000000</v>
      </c>
      <c r="G21" s="7">
        <f t="shared" si="3"/>
        <v>129000000</v>
      </c>
      <c r="H21" s="33"/>
      <c r="I21" s="8" t="str">
        <f>IF($E21="","",IFERROR(IF(N($H21)&lt;&gt;0,"Chưa thanh toán đủ","Đã thanh toán đủ"),""))</f>
        <v>Đã thanh toán đủ</v>
      </c>
      <c r="J21" s="29" cm="1">
        <f t="array" ref="J21">IF($E21="","",IFERROR(_xlfn.IFS($D21="trọn gói",$F21*1%,$D21="tự lắp",$F21*0.8%,$D21="phân phối",$F21*0.2%),""))</f>
        <v>1290000</v>
      </c>
      <c r="K21" s="8" t="s">
        <v>51</v>
      </c>
      <c r="L21" s="1"/>
      <c r="M21" s="1"/>
      <c r="N21" s="1"/>
      <c r="O21" s="1"/>
      <c r="P21" s="1"/>
      <c r="Q21" s="1"/>
      <c r="R21" s="1"/>
      <c r="S21" s="1"/>
      <c r="T21" s="1"/>
      <c r="U21" s="1"/>
      <c r="V21" s="1"/>
      <c r="W21" s="1"/>
      <c r="X21" s="1"/>
      <c r="Y21" s="1"/>
      <c r="Z21" s="1"/>
    </row>
    <row r="22" spans="1:26" ht="50">
      <c r="A22" s="4" t="s">
        <v>49</v>
      </c>
      <c r="B22" s="5" t="s">
        <v>7</v>
      </c>
      <c r="C22" s="4" t="s">
        <v>8</v>
      </c>
      <c r="D22" s="4" t="s">
        <v>480</v>
      </c>
      <c r="E22" s="6" t="s">
        <v>52</v>
      </c>
      <c r="F22" s="7">
        <f>52500000+3456000</f>
        <v>55956000</v>
      </c>
      <c r="G22" s="7">
        <f t="shared" si="3"/>
        <v>55956000</v>
      </c>
      <c r="H22" s="33"/>
      <c r="I22" s="8" t="str">
        <f>IF($E22="","",IFERROR(IF(N($H22)&lt;&gt;0,"Chưa thanh toán đủ","Đã thanh toán đủ"),""))</f>
        <v>Đã thanh toán đủ</v>
      </c>
      <c r="J22" s="29" cm="1">
        <f t="array" ref="J22">IF($E22="","",IFERROR(_xlfn.IFS($D22="trọn gói",$F22*1%,$D22="tự lắp",$F22*0.8%,$D22="phân phối",$F22*0.2%),""))</f>
        <v>559560</v>
      </c>
      <c r="K22" s="8" t="s">
        <v>53</v>
      </c>
      <c r="L22" s="1"/>
      <c r="M22" s="1"/>
      <c r="N22" s="1"/>
      <c r="O22" s="1"/>
      <c r="P22" s="1"/>
      <c r="Q22" s="1"/>
      <c r="R22" s="1"/>
      <c r="S22" s="1"/>
      <c r="T22" s="1"/>
      <c r="U22" s="1"/>
      <c r="V22" s="1"/>
      <c r="W22" s="1"/>
      <c r="X22" s="1"/>
      <c r="Y22" s="1"/>
      <c r="Z22" s="1"/>
    </row>
    <row r="23" spans="1:26" ht="12.5">
      <c r="A23" s="4" t="s">
        <v>49</v>
      </c>
      <c r="B23" s="5" t="s">
        <v>7</v>
      </c>
      <c r="C23" s="4" t="s">
        <v>8</v>
      </c>
      <c r="D23" s="4" t="s">
        <v>479</v>
      </c>
      <c r="E23" s="6" t="s">
        <v>54</v>
      </c>
      <c r="F23" s="7">
        <v>6200000</v>
      </c>
      <c r="G23" s="7">
        <f t="shared" si="3"/>
        <v>6200000</v>
      </c>
      <c r="H23" s="33"/>
      <c r="I23" s="8" t="str">
        <f>IF($E23="","",IFERROR(IF(N($H23)&lt;&gt;0,"Chưa thanh toán đủ","Đã thanh toán đủ"),""))</f>
        <v>Đã thanh toán đủ</v>
      </c>
      <c r="J23" s="29" cm="1">
        <f t="array" ref="J23">IF($E23="","",IFERROR(_xlfn.IFS($D23="trọn gói",$F23*1%,$D23="tự lắp",$F23*0.8%,$D23="phân phối",$F23*0.2%),""))</f>
        <v>49600</v>
      </c>
      <c r="K23" s="8" t="s">
        <v>55</v>
      </c>
      <c r="L23" s="1"/>
      <c r="M23" s="1"/>
      <c r="N23" s="1"/>
      <c r="O23" s="1"/>
      <c r="P23" s="1"/>
      <c r="Q23" s="1"/>
      <c r="R23" s="1"/>
      <c r="S23" s="1"/>
      <c r="T23" s="1"/>
      <c r="U23" s="1"/>
      <c r="V23" s="1"/>
      <c r="W23" s="1"/>
      <c r="X23" s="1"/>
      <c r="Y23" s="1"/>
      <c r="Z23" s="1"/>
    </row>
    <row r="24" spans="1:26" ht="37.5">
      <c r="A24" s="4" t="s">
        <v>49</v>
      </c>
      <c r="B24" s="5" t="s">
        <v>7</v>
      </c>
      <c r="C24" s="4" t="s">
        <v>8</v>
      </c>
      <c r="D24" s="4" t="s">
        <v>480</v>
      </c>
      <c r="E24" s="6" t="s">
        <v>56</v>
      </c>
      <c r="F24" s="7">
        <v>154800000</v>
      </c>
      <c r="G24" s="7">
        <f t="shared" si="3"/>
        <v>154800000</v>
      </c>
      <c r="H24" s="33"/>
      <c r="I24" s="8" t="str">
        <f>IF($E24="","",IFERROR(IF(N($H24)&lt;&gt;0,"Chưa thanh toán đủ","Đã thanh toán đủ"),""))</f>
        <v>Đã thanh toán đủ</v>
      </c>
      <c r="J24" s="29" cm="1">
        <f t="array" ref="J24">IF($E24="","",IFERROR(_xlfn.IFS($D24="trọn gói",$F24*1%,$D24="tự lắp",$F24*0.8%,$D24="phân phối",$F24*0.2%),""))</f>
        <v>1548000</v>
      </c>
      <c r="K24" s="8" t="s">
        <v>57</v>
      </c>
      <c r="L24" s="1"/>
      <c r="M24" s="1"/>
      <c r="N24" s="1"/>
      <c r="O24" s="1"/>
      <c r="P24" s="1"/>
      <c r="Q24" s="1"/>
      <c r="R24" s="1"/>
      <c r="S24" s="1"/>
      <c r="T24" s="1"/>
      <c r="U24" s="1"/>
      <c r="V24" s="1"/>
      <c r="W24" s="1"/>
      <c r="X24" s="1"/>
      <c r="Y24" s="1"/>
      <c r="Z24" s="1"/>
    </row>
    <row r="25" spans="1:26" ht="37.5">
      <c r="A25" s="4" t="s">
        <v>49</v>
      </c>
      <c r="B25" s="5" t="s">
        <v>7</v>
      </c>
      <c r="C25" s="4" t="s">
        <v>8</v>
      </c>
      <c r="D25" s="4" t="s">
        <v>480</v>
      </c>
      <c r="E25" s="6" t="s">
        <v>58</v>
      </c>
      <c r="F25" s="7">
        <v>155000000</v>
      </c>
      <c r="G25" s="7">
        <f t="shared" si="3"/>
        <v>155000000</v>
      </c>
      <c r="H25" s="33"/>
      <c r="I25" s="8" t="str">
        <f>IF($E25="","",IFERROR(IF(N($H25)&lt;&gt;0,"Chưa thanh toán đủ","Đã thanh toán đủ"),""))</f>
        <v>Đã thanh toán đủ</v>
      </c>
      <c r="J25" s="29" cm="1">
        <f t="array" ref="J25">IF($E25="","",IFERROR(_xlfn.IFS($D25="trọn gói",$F25*1%,$D25="tự lắp",$F25*0.8%,$D25="phân phối",$F25*0.2%),""))</f>
        <v>1550000</v>
      </c>
      <c r="K25" s="8" t="s">
        <v>59</v>
      </c>
      <c r="L25" s="1"/>
      <c r="M25" s="1"/>
      <c r="N25" s="1"/>
      <c r="O25" s="1"/>
      <c r="P25" s="1"/>
      <c r="Q25" s="1"/>
      <c r="R25" s="1"/>
      <c r="S25" s="1"/>
      <c r="T25" s="1"/>
      <c r="U25" s="1"/>
      <c r="V25" s="1"/>
      <c r="W25" s="1"/>
      <c r="X25" s="1"/>
      <c r="Y25" s="1"/>
      <c r="Z25" s="1"/>
    </row>
    <row r="26" spans="1:26" ht="25">
      <c r="A26" s="4" t="s">
        <v>49</v>
      </c>
      <c r="B26" s="5" t="s">
        <v>7</v>
      </c>
      <c r="C26" s="4" t="s">
        <v>8</v>
      </c>
      <c r="D26" s="4" t="s">
        <v>480</v>
      </c>
      <c r="E26" s="6" t="s">
        <v>60</v>
      </c>
      <c r="F26" s="7">
        <v>56000000</v>
      </c>
      <c r="G26" s="7">
        <f t="shared" si="3"/>
        <v>56000000</v>
      </c>
      <c r="H26" s="33"/>
      <c r="I26" s="8" t="str">
        <f>IF($E26="","",IFERROR(IF(N($H26)&lt;&gt;0,"Chưa thanh toán đủ","Đã thanh toán đủ"),""))</f>
        <v>Đã thanh toán đủ</v>
      </c>
      <c r="J26" s="29" cm="1">
        <f t="array" ref="J26">IF($E26="","",IFERROR(_xlfn.IFS($D26="trọn gói",$F26*1%,$D26="tự lắp",$F26*0.8%,$D26="phân phối",$F26*0.2%),""))</f>
        <v>560000</v>
      </c>
      <c r="K26" s="8" t="s">
        <v>61</v>
      </c>
    </row>
    <row r="27" spans="1:26" ht="75">
      <c r="A27" s="4" t="s">
        <v>62</v>
      </c>
      <c r="B27" s="5" t="s">
        <v>7</v>
      </c>
      <c r="C27" s="4" t="s">
        <v>8</v>
      </c>
      <c r="D27" s="4" t="s">
        <v>480</v>
      </c>
      <c r="E27" s="6" t="s">
        <v>63</v>
      </c>
      <c r="F27" s="7">
        <v>93000000</v>
      </c>
      <c r="G27" s="7">
        <v>90000000</v>
      </c>
      <c r="H27" s="33">
        <v>3000000</v>
      </c>
      <c r="I27" s="8" t="str">
        <f>IF($E27="","",IFERROR(IF(N($H27)&lt;&gt;0,"Chưa thanh toán đủ","Đã thanh toán đủ"),""))</f>
        <v>Chưa thanh toán đủ</v>
      </c>
      <c r="J27" s="29" cm="1">
        <f t="array" ref="J27">IF($E27="","",IFERROR(_xlfn.IFS($D27="trọn gói",$F27*1%,$D27="tự lắp",$F27*0.8%,$D27="phân phối",$F27*0.2%),""))</f>
        <v>930000</v>
      </c>
      <c r="K27" s="8"/>
    </row>
    <row r="28" spans="1:26" ht="37.5">
      <c r="A28" s="4" t="s">
        <v>62</v>
      </c>
      <c r="B28" s="5" t="s">
        <v>7</v>
      </c>
      <c r="C28" s="4" t="s">
        <v>8</v>
      </c>
      <c r="D28" s="4" t="s">
        <v>479</v>
      </c>
      <c r="E28" s="6" t="s">
        <v>64</v>
      </c>
      <c r="F28" s="7">
        <v>84000000</v>
      </c>
      <c r="G28" s="7">
        <v>84000000</v>
      </c>
      <c r="H28" s="33"/>
      <c r="I28" s="8" t="str">
        <f>IF($E28="","",IFERROR(IF(N($H28)&lt;&gt;0,"Chưa thanh toán đủ","Đã thanh toán đủ"),""))</f>
        <v>Đã thanh toán đủ</v>
      </c>
      <c r="J28" s="29" cm="1">
        <f t="array" ref="J28">IF($E28="","",IFERROR(_xlfn.IFS($D28="trọn gói",$F28*1%,$D28="tự lắp",$F28*0.8%,$D28="phân phối",$F28*0.2%),""))</f>
        <v>672000</v>
      </c>
      <c r="K28" s="8"/>
    </row>
    <row r="29" spans="1:26" ht="50">
      <c r="A29" s="4" t="s">
        <v>62</v>
      </c>
      <c r="B29" s="5" t="s">
        <v>7</v>
      </c>
      <c r="C29" s="4" t="s">
        <v>8</v>
      </c>
      <c r="D29" s="4" t="s">
        <v>480</v>
      </c>
      <c r="E29" s="6" t="s">
        <v>65</v>
      </c>
      <c r="F29" s="7">
        <v>116000000</v>
      </c>
      <c r="G29" s="7">
        <f t="shared" ref="G29:G31" si="4">F29</f>
        <v>116000000</v>
      </c>
      <c r="H29" s="33"/>
      <c r="I29" s="8" t="str">
        <f>IF($E29="","",IFERROR(IF(N($H29)&lt;&gt;0,"Chưa thanh toán đủ","Đã thanh toán đủ"),""))</f>
        <v>Đã thanh toán đủ</v>
      </c>
      <c r="J29" s="29" cm="1">
        <f t="array" ref="J29">IF($E29="","",IFERROR(_xlfn.IFS($D29="trọn gói",$F29*1%,$D29="tự lắp",$F29*0.8%,$D29="phân phối",$F29*0.2%),""))</f>
        <v>1160000</v>
      </c>
      <c r="K29" s="8"/>
    </row>
    <row r="30" spans="1:26" ht="50">
      <c r="A30" s="4" t="s">
        <v>62</v>
      </c>
      <c r="B30" s="5" t="s">
        <v>7</v>
      </c>
      <c r="C30" s="4" t="s">
        <v>8</v>
      </c>
      <c r="D30" s="4" t="s">
        <v>480</v>
      </c>
      <c r="E30" s="6" t="s">
        <v>66</v>
      </c>
      <c r="F30" s="7">
        <v>113000000</v>
      </c>
      <c r="G30" s="7">
        <f t="shared" si="4"/>
        <v>113000000</v>
      </c>
      <c r="H30" s="33"/>
      <c r="I30" s="8" t="str">
        <f>IF($E30="","",IFERROR(IF(N($H30)&lt;&gt;0,"Chưa thanh toán đủ","Đã thanh toán đủ"),""))</f>
        <v>Đã thanh toán đủ</v>
      </c>
      <c r="J30" s="29" cm="1">
        <f t="array" ref="J30">IF($E30="","",IFERROR(_xlfn.IFS($D30="trọn gói",$F30*1%,$D30="tự lắp",$F30*0.8%,$D30="phân phối",$F30*0.2%),""))</f>
        <v>1130000</v>
      </c>
      <c r="K30" s="8"/>
    </row>
    <row r="31" spans="1:26" ht="25">
      <c r="A31" s="4" t="s">
        <v>62</v>
      </c>
      <c r="B31" s="5" t="s">
        <v>7</v>
      </c>
      <c r="C31" s="4" t="s">
        <v>8</v>
      </c>
      <c r="D31" s="4" t="s">
        <v>479</v>
      </c>
      <c r="E31" s="6" t="s">
        <v>67</v>
      </c>
      <c r="F31" s="7">
        <v>93263200</v>
      </c>
      <c r="G31" s="7">
        <f t="shared" si="4"/>
        <v>93263200</v>
      </c>
      <c r="H31" s="33"/>
      <c r="I31" s="8" t="str">
        <f>IF($E31="","",IFERROR(IF(N($H31)&lt;&gt;0,"Chưa thanh toán đủ","Đã thanh toán đủ"),""))</f>
        <v>Đã thanh toán đủ</v>
      </c>
      <c r="J31" s="29" cm="1">
        <f t="array" ref="J31">IF($E31="","",IFERROR(_xlfn.IFS($D31="trọn gói",$F31*1%,$D31="tự lắp",$F31*0.8%,$D31="phân phối",$F31*0.2%),""))</f>
        <v>746105.6</v>
      </c>
      <c r="K31" s="8"/>
    </row>
    <row r="32" spans="1:26" ht="12.5">
      <c r="A32" s="4" t="s">
        <v>68</v>
      </c>
      <c r="B32" s="5" t="s">
        <v>7</v>
      </c>
      <c r="C32" s="4" t="s">
        <v>8</v>
      </c>
      <c r="D32" s="4" t="s">
        <v>479</v>
      </c>
      <c r="E32" s="6" t="s">
        <v>69</v>
      </c>
      <c r="F32" s="7">
        <v>73500000</v>
      </c>
      <c r="G32" s="7">
        <v>73500000</v>
      </c>
      <c r="H32" s="33"/>
      <c r="I32" s="8" t="str">
        <f>IF($E32="","",IFERROR(IF(N($H32)&lt;&gt;0,"Chưa thanh toán đủ","Đã thanh toán đủ"),""))</f>
        <v>Đã thanh toán đủ</v>
      </c>
      <c r="J32" s="29" cm="1">
        <f t="array" ref="J32">IF($E32="","",IFERROR(_xlfn.IFS($D32="trọn gói",$F32*1%,$D32="tự lắp",$F32*0.8%,$D32="phân phối",$F32*0.2%),""))</f>
        <v>588000</v>
      </c>
      <c r="K32" s="8"/>
    </row>
    <row r="33" spans="1:26" ht="12.5">
      <c r="A33" s="4" t="s">
        <v>68</v>
      </c>
      <c r="B33" s="5" t="s">
        <v>7</v>
      </c>
      <c r="C33" s="4" t="s">
        <v>8</v>
      </c>
      <c r="D33" s="4" t="s">
        <v>479</v>
      </c>
      <c r="E33" s="6" t="s">
        <v>70</v>
      </c>
      <c r="F33" s="7">
        <v>43500000</v>
      </c>
      <c r="G33" s="7">
        <v>43500000</v>
      </c>
      <c r="H33" s="33"/>
      <c r="I33" s="8" t="str">
        <f>IF($E33="","",IFERROR(IF(N($H33)&lt;&gt;0,"Chưa thanh toán đủ","Đã thanh toán đủ"),""))</f>
        <v>Đã thanh toán đủ</v>
      </c>
      <c r="J33" s="29" cm="1">
        <f t="array" ref="J33">IF($E33="","",IFERROR(_xlfn.IFS($D33="trọn gói",$F33*1%,$D33="tự lắp",$F33*0.8%,$D33="phân phối",$F33*0.2%),""))</f>
        <v>348000</v>
      </c>
      <c r="K33" s="8"/>
    </row>
    <row r="34" spans="1:26" ht="25">
      <c r="A34" s="4" t="s">
        <v>71</v>
      </c>
      <c r="B34" s="5" t="s">
        <v>7</v>
      </c>
      <c r="C34" s="4" t="s">
        <v>8</v>
      </c>
      <c r="D34" s="4" t="s">
        <v>480</v>
      </c>
      <c r="E34" s="9" t="s">
        <v>72</v>
      </c>
      <c r="F34" s="10">
        <v>100203800</v>
      </c>
      <c r="G34" s="10">
        <f t="shared" ref="G34:G38" si="5">F34</f>
        <v>100203800</v>
      </c>
      <c r="H34" s="34"/>
      <c r="I34" s="8" t="str">
        <f>IF($E34="","",IFERROR(IF(N($H34)&lt;&gt;0,"Chưa thanh toán đủ","Đã thanh toán đủ"),""))</f>
        <v>Đã thanh toán đủ</v>
      </c>
      <c r="J34" s="30" cm="1">
        <f t="array" ref="J34">IF($E34="","",IFERROR(_xlfn.IFS($D34="trọn gói",$F34*1%,$D34="tự lắp",$F34*0.8%,$D34="phân phối",$F34*0.2%),""))</f>
        <v>1002038</v>
      </c>
      <c r="K34" s="11"/>
    </row>
    <row r="35" spans="1:26" ht="25">
      <c r="A35" s="4" t="s">
        <v>71</v>
      </c>
      <c r="B35" s="5" t="s">
        <v>7</v>
      </c>
      <c r="C35" s="4" t="s">
        <v>8</v>
      </c>
      <c r="D35" s="4" t="s">
        <v>480</v>
      </c>
      <c r="E35" s="9" t="s">
        <v>73</v>
      </c>
      <c r="F35" s="10">
        <v>47195000</v>
      </c>
      <c r="G35" s="10">
        <f t="shared" si="5"/>
        <v>47195000</v>
      </c>
      <c r="H35" s="34"/>
      <c r="I35" s="8" t="str">
        <f>IF($E35="","",IFERROR(IF(N($H35)&lt;&gt;0,"Chưa thanh toán đủ","Đã thanh toán đủ"),""))</f>
        <v>Đã thanh toán đủ</v>
      </c>
      <c r="J35" s="30" cm="1">
        <f t="array" ref="J35">IF($E35="","",IFERROR(_xlfn.IFS($D35="trọn gói",$F35*1%,$D35="tự lắp",$F35*0.8%,$D35="phân phối",$F35*0.2%),""))</f>
        <v>471950</v>
      </c>
      <c r="K35" s="11"/>
    </row>
    <row r="36" spans="1:26" ht="37.5">
      <c r="A36" s="4" t="s">
        <v>49</v>
      </c>
      <c r="B36" s="5" t="s">
        <v>74</v>
      </c>
      <c r="C36" s="4" t="s">
        <v>8</v>
      </c>
      <c r="D36" s="4" t="s">
        <v>479</v>
      </c>
      <c r="E36" s="6" t="s">
        <v>75</v>
      </c>
      <c r="F36" s="7">
        <v>32500000</v>
      </c>
      <c r="G36" s="7">
        <f t="shared" si="5"/>
        <v>32500000</v>
      </c>
      <c r="H36" s="33"/>
      <c r="I36" s="8" t="str">
        <f>IF($E36="","",IFERROR(IF(N($H36)&lt;&gt;0,"Chưa thanh toán đủ","Đã thanh toán đủ"),""))</f>
        <v>Đã thanh toán đủ</v>
      </c>
      <c r="J36" s="29" cm="1">
        <f t="array" ref="J36">IF($E36="","",IFERROR(_xlfn.IFS($D36="trọn gói",$F36*1%,$D36="tự lắp",$F36*0.8%,$D36="phân phối",$F36*0.2%),""))</f>
        <v>260000</v>
      </c>
      <c r="K36" s="8" t="s">
        <v>76</v>
      </c>
      <c r="L36" s="1"/>
      <c r="M36" s="1"/>
      <c r="N36" s="1"/>
      <c r="O36" s="1"/>
      <c r="P36" s="1"/>
      <c r="Q36" s="1"/>
      <c r="R36" s="1"/>
      <c r="S36" s="1"/>
      <c r="T36" s="1"/>
      <c r="U36" s="1"/>
      <c r="V36" s="1"/>
      <c r="W36" s="1"/>
      <c r="X36" s="1"/>
      <c r="Y36" s="1"/>
      <c r="Z36" s="1"/>
    </row>
    <row r="37" spans="1:26" ht="25">
      <c r="A37" s="4" t="s">
        <v>49</v>
      </c>
      <c r="B37" s="5" t="s">
        <v>74</v>
      </c>
      <c r="C37" s="4" t="s">
        <v>8</v>
      </c>
      <c r="D37" s="4" t="s">
        <v>480</v>
      </c>
      <c r="E37" s="6" t="s">
        <v>77</v>
      </c>
      <c r="F37" s="7">
        <v>480000000</v>
      </c>
      <c r="G37" s="7">
        <f t="shared" si="5"/>
        <v>480000000</v>
      </c>
      <c r="H37" s="33"/>
      <c r="I37" s="8" t="str">
        <f>IF($E37="","",IFERROR(IF(N($H37)&lt;&gt;0,"Chưa thanh toán đủ","Đã thanh toán đủ"),""))</f>
        <v>Đã thanh toán đủ</v>
      </c>
      <c r="J37" s="29" cm="1">
        <f t="array" ref="J37">IF($E37="","",IFERROR(_xlfn.IFS($D37="trọn gói",$F37*1%,$D37="tự lắp",$F37*0.8%,$D37="phân phối",$F37*0.2%),""))</f>
        <v>4800000</v>
      </c>
      <c r="K37" s="8" t="s">
        <v>78</v>
      </c>
      <c r="L37" s="1"/>
      <c r="M37" s="1"/>
      <c r="N37" s="1"/>
      <c r="O37" s="1"/>
      <c r="P37" s="1"/>
      <c r="Q37" s="1"/>
      <c r="R37" s="1"/>
      <c r="S37" s="1"/>
      <c r="T37" s="1"/>
      <c r="U37" s="1"/>
      <c r="V37" s="1"/>
      <c r="W37" s="1"/>
      <c r="X37" s="1"/>
      <c r="Y37" s="1"/>
      <c r="Z37" s="1"/>
    </row>
    <row r="38" spans="1:26" ht="37.5">
      <c r="A38" s="4" t="s">
        <v>6</v>
      </c>
      <c r="B38" s="5" t="s">
        <v>74</v>
      </c>
      <c r="C38" s="4" t="s">
        <v>8</v>
      </c>
      <c r="D38" s="4" t="s">
        <v>479</v>
      </c>
      <c r="E38" s="6" t="s">
        <v>79</v>
      </c>
      <c r="F38" s="7">
        <v>71231000</v>
      </c>
      <c r="G38" s="7">
        <f t="shared" si="5"/>
        <v>71231000</v>
      </c>
      <c r="H38" s="33"/>
      <c r="I38" s="8" t="str">
        <f>IF($E38="","",IFERROR(IF(N($H38)&lt;&gt;0,"Chưa thanh toán đủ","Đã thanh toán đủ"),""))</f>
        <v>Đã thanh toán đủ</v>
      </c>
      <c r="J38" s="29" cm="1">
        <f t="array" ref="J38">IF($E38="","",IFERROR(_xlfn.IFS($D38="trọn gói",$F38*1%,$D38="tự lắp",$F38*0.8%,$D38="phân phối",$F38*0.2%),""))</f>
        <v>569848</v>
      </c>
      <c r="K38" s="8" t="s">
        <v>80</v>
      </c>
      <c r="L38" s="1"/>
      <c r="M38" s="1"/>
      <c r="N38" s="1"/>
      <c r="O38" s="1"/>
      <c r="P38" s="1"/>
      <c r="Q38" s="1"/>
      <c r="R38" s="1"/>
      <c r="S38" s="1"/>
      <c r="T38" s="1"/>
      <c r="U38" s="1"/>
      <c r="V38" s="1"/>
      <c r="W38" s="1"/>
      <c r="X38" s="1"/>
      <c r="Y38" s="1"/>
      <c r="Z38" s="1"/>
    </row>
    <row r="39" spans="1:26" ht="37.5">
      <c r="A39" s="4" t="s">
        <v>6</v>
      </c>
      <c r="B39" s="5" t="s">
        <v>74</v>
      </c>
      <c r="C39" s="4" t="s">
        <v>8</v>
      </c>
      <c r="D39" s="4" t="s">
        <v>479</v>
      </c>
      <c r="E39" s="6" t="s">
        <v>81</v>
      </c>
      <c r="F39" s="7">
        <v>50500000</v>
      </c>
      <c r="G39" s="7">
        <v>50500000</v>
      </c>
      <c r="H39" s="33"/>
      <c r="I39" s="8" t="str">
        <f>IF($E39="","",IFERROR(IF(N($H39)&lt;&gt;0,"Chưa thanh toán đủ","Đã thanh toán đủ"),""))</f>
        <v>Đã thanh toán đủ</v>
      </c>
      <c r="J39" s="29" cm="1">
        <f t="array" ref="J39">IF($E39="","",IFERROR(_xlfn.IFS($D39="trọn gói",$F39*1%,$D39="tự lắp",$F39*0.8%,$D39="phân phối",$F39*0.2%),""))</f>
        <v>404000</v>
      </c>
      <c r="K39" s="8" t="s">
        <v>82</v>
      </c>
      <c r="L39" s="1"/>
      <c r="M39" s="1"/>
      <c r="N39" s="1"/>
      <c r="O39" s="1"/>
      <c r="P39" s="1"/>
      <c r="Q39" s="1"/>
      <c r="R39" s="1"/>
      <c r="S39" s="1"/>
      <c r="T39" s="1"/>
      <c r="U39" s="1"/>
      <c r="V39" s="1"/>
      <c r="W39" s="1"/>
      <c r="X39" s="1"/>
      <c r="Y39" s="1"/>
      <c r="Z39" s="1"/>
    </row>
    <row r="40" spans="1:26" ht="37.5">
      <c r="A40" s="4" t="s">
        <v>6</v>
      </c>
      <c r="B40" s="5" t="s">
        <v>74</v>
      </c>
      <c r="C40" s="4" t="s">
        <v>8</v>
      </c>
      <c r="D40" s="4" t="s">
        <v>148</v>
      </c>
      <c r="E40" s="6" t="s">
        <v>83</v>
      </c>
      <c r="F40" s="7">
        <v>18720000</v>
      </c>
      <c r="G40" s="7">
        <v>18720000</v>
      </c>
      <c r="H40" s="33"/>
      <c r="I40" s="8" t="str">
        <f>IF($E40="","",IFERROR(IF(N($H40)&lt;&gt;0,"Chưa thanh toán đủ","Đã thanh toán đủ"),""))</f>
        <v>Đã thanh toán đủ</v>
      </c>
      <c r="J40" s="29" cm="1">
        <f t="array" ref="J40">IF($E40="","",IFERROR(_xlfn.IFS($D40="trọn gói",$F40*1%,$D40="tự lắp",$F40*0.8%,$D40="phân phối",$F40*0.2%),""))</f>
        <v>37440</v>
      </c>
      <c r="K40" s="8" t="s">
        <v>84</v>
      </c>
      <c r="L40" s="1"/>
      <c r="M40" s="1"/>
      <c r="N40" s="1"/>
      <c r="O40" s="1"/>
      <c r="P40" s="1"/>
      <c r="Q40" s="1"/>
      <c r="R40" s="1"/>
      <c r="S40" s="1"/>
      <c r="T40" s="1"/>
      <c r="U40" s="1"/>
      <c r="V40" s="1"/>
      <c r="W40" s="1"/>
      <c r="X40" s="1"/>
      <c r="Y40" s="1"/>
      <c r="Z40" s="1"/>
    </row>
    <row r="41" spans="1:26" ht="37.5">
      <c r="A41" s="4" t="s">
        <v>6</v>
      </c>
      <c r="B41" s="5" t="s">
        <v>74</v>
      </c>
      <c r="C41" s="4" t="s">
        <v>8</v>
      </c>
      <c r="D41" s="4" t="s">
        <v>479</v>
      </c>
      <c r="E41" s="6" t="s">
        <v>85</v>
      </c>
      <c r="F41" s="7">
        <v>50500000</v>
      </c>
      <c r="G41" s="7">
        <v>40000000</v>
      </c>
      <c r="H41" s="33"/>
      <c r="I41" s="8" t="str">
        <f>IF($E41="","",IFERROR(IF(N($H41)&lt;&gt;0,"Chưa thanh toán đủ","Đã thanh toán đủ"),""))</f>
        <v>Đã thanh toán đủ</v>
      </c>
      <c r="J41" s="29" cm="1">
        <f t="array" ref="J41">IF($E41="","",IFERROR(_xlfn.IFS($D41="trọn gói",$F41*1%,$D41="tự lắp",$F41*0.8%,$D41="phân phối",$F41*0.2%),""))</f>
        <v>404000</v>
      </c>
      <c r="K41" s="8" t="s">
        <v>86</v>
      </c>
      <c r="L41" s="1"/>
      <c r="M41" s="1"/>
      <c r="N41" s="1"/>
      <c r="O41" s="1"/>
      <c r="P41" s="1"/>
      <c r="Q41" s="1"/>
      <c r="R41" s="1"/>
      <c r="S41" s="1"/>
      <c r="T41" s="1"/>
      <c r="U41" s="1"/>
      <c r="V41" s="1"/>
      <c r="W41" s="1"/>
      <c r="X41" s="1"/>
      <c r="Y41" s="1"/>
      <c r="Z41" s="1"/>
    </row>
    <row r="42" spans="1:26" ht="37.5">
      <c r="A42" s="4" t="s">
        <v>6</v>
      </c>
      <c r="B42" s="5" t="s">
        <v>74</v>
      </c>
      <c r="C42" s="4" t="s">
        <v>8</v>
      </c>
      <c r="D42" s="4" t="s">
        <v>480</v>
      </c>
      <c r="E42" s="6" t="s">
        <v>87</v>
      </c>
      <c r="F42" s="7">
        <v>21500000</v>
      </c>
      <c r="G42" s="7">
        <v>21500000</v>
      </c>
      <c r="H42" s="33"/>
      <c r="I42" s="8" t="str">
        <f>IF($E42="","",IFERROR(IF(N($H42)&lt;&gt;0,"Chưa thanh toán đủ","Đã thanh toán đủ"),""))</f>
        <v>Đã thanh toán đủ</v>
      </c>
      <c r="J42" s="29" cm="1">
        <f t="array" ref="J42">IF($E42="","",IFERROR(_xlfn.IFS($D42="trọn gói",$F42*1%,$D42="tự lắp",$F42*0.8%,$D42="phân phối",$F42*0.2%),""))</f>
        <v>215000</v>
      </c>
      <c r="K42" s="8" t="s">
        <v>88</v>
      </c>
      <c r="L42" s="1"/>
      <c r="M42" s="1"/>
      <c r="N42" s="1"/>
      <c r="O42" s="1"/>
      <c r="P42" s="1"/>
      <c r="Q42" s="1"/>
      <c r="R42" s="1"/>
      <c r="S42" s="1"/>
      <c r="T42" s="1"/>
      <c r="U42" s="1"/>
      <c r="V42" s="1"/>
      <c r="W42" s="1"/>
      <c r="X42" s="1"/>
      <c r="Y42" s="1"/>
      <c r="Z42" s="1"/>
    </row>
    <row r="43" spans="1:26" ht="37.5">
      <c r="A43" s="4" t="s">
        <v>6</v>
      </c>
      <c r="B43" s="5" t="s">
        <v>74</v>
      </c>
      <c r="C43" s="4" t="s">
        <v>8</v>
      </c>
      <c r="D43" s="4" t="s">
        <v>480</v>
      </c>
      <c r="E43" s="6" t="s">
        <v>89</v>
      </c>
      <c r="F43" s="7">
        <v>236618375</v>
      </c>
      <c r="G43" s="7">
        <v>236618375</v>
      </c>
      <c r="H43" s="33"/>
      <c r="I43" s="8" t="str">
        <f>IF($E43="","",IFERROR(IF(N($H43)&lt;&gt;0,"Chưa thanh toán đủ","Đã thanh toán đủ"),""))</f>
        <v>Đã thanh toán đủ</v>
      </c>
      <c r="J43" s="29" cm="1">
        <f t="array" ref="J43">IF($E43="","",IFERROR(_xlfn.IFS($D43="trọn gói",$F43*1%,$D43="tự lắp",$F43*0.8%,$D43="phân phối",$F43*0.2%),""))</f>
        <v>2366183.75</v>
      </c>
      <c r="K43" s="8" t="s">
        <v>90</v>
      </c>
      <c r="L43" s="1"/>
      <c r="M43" s="1"/>
      <c r="N43" s="1"/>
      <c r="O43" s="1"/>
      <c r="P43" s="1"/>
      <c r="Q43" s="1"/>
      <c r="R43" s="1"/>
      <c r="S43" s="1"/>
      <c r="T43" s="1"/>
      <c r="U43" s="1"/>
      <c r="V43" s="1"/>
      <c r="W43" s="1"/>
      <c r="X43" s="1"/>
      <c r="Y43" s="1"/>
      <c r="Z43" s="1"/>
    </row>
    <row r="44" spans="1:26" ht="37.5">
      <c r="A44" s="4" t="s">
        <v>6</v>
      </c>
      <c r="B44" s="5" t="s">
        <v>74</v>
      </c>
      <c r="C44" s="4" t="s">
        <v>8</v>
      </c>
      <c r="D44" s="4" t="s">
        <v>148</v>
      </c>
      <c r="E44" s="6" t="s">
        <v>91</v>
      </c>
      <c r="F44" s="7">
        <v>14287320</v>
      </c>
      <c r="G44" s="7">
        <f>F44</f>
        <v>14287320</v>
      </c>
      <c r="H44" s="33"/>
      <c r="I44" s="8" t="str">
        <f>IF($E44="","",IFERROR(IF(N($H44)&lt;&gt;0,"Chưa thanh toán đủ","Đã thanh toán đủ"),""))</f>
        <v>Đã thanh toán đủ</v>
      </c>
      <c r="J44" s="29" cm="1">
        <f t="array" ref="J44">IF($E44="","",IFERROR(_xlfn.IFS($D44="trọn gói",$F44*1%,$D44="tự lắp",$F44*0.8%,$D44="phân phối",$F44*0.2%),""))</f>
        <v>28574.639999999999</v>
      </c>
      <c r="K44" s="8" t="s">
        <v>92</v>
      </c>
      <c r="L44" s="1"/>
      <c r="M44" s="1"/>
      <c r="N44" s="1"/>
      <c r="O44" s="1"/>
      <c r="P44" s="1"/>
      <c r="Q44" s="1"/>
      <c r="R44" s="1"/>
      <c r="S44" s="1"/>
      <c r="T44" s="1"/>
      <c r="U44" s="1"/>
      <c r="V44" s="1"/>
      <c r="W44" s="1"/>
      <c r="X44" s="1"/>
      <c r="Y44" s="1"/>
      <c r="Z44" s="1"/>
    </row>
    <row r="45" spans="1:26" ht="37.5">
      <c r="A45" s="4" t="s">
        <v>6</v>
      </c>
      <c r="B45" s="5" t="s">
        <v>74</v>
      </c>
      <c r="C45" s="4" t="s">
        <v>8</v>
      </c>
      <c r="D45" s="4" t="s">
        <v>480</v>
      </c>
      <c r="E45" s="6" t="s">
        <v>93</v>
      </c>
      <c r="F45" s="7">
        <v>65299000</v>
      </c>
      <c r="G45" s="7">
        <v>65299000</v>
      </c>
      <c r="H45" s="33"/>
      <c r="I45" s="8" t="str">
        <f>IF($E45="","",IFERROR(IF(N($H45)&lt;&gt;0,"Chưa thanh toán đủ","Đã thanh toán đủ"),""))</f>
        <v>Đã thanh toán đủ</v>
      </c>
      <c r="J45" s="29" cm="1">
        <f t="array" ref="J45">IF($E45="","",IFERROR(_xlfn.IFS($D45="trọn gói",$F45*1%,$D45="tự lắp",$F45*0.8%,$D45="phân phối",$F45*0.2%),""))</f>
        <v>652990</v>
      </c>
      <c r="K45" s="8"/>
      <c r="L45" s="1"/>
      <c r="M45" s="1"/>
      <c r="N45" s="1"/>
      <c r="O45" s="1"/>
      <c r="P45" s="1"/>
      <c r="Q45" s="1"/>
      <c r="R45" s="1"/>
      <c r="S45" s="1"/>
      <c r="T45" s="1"/>
      <c r="U45" s="1"/>
      <c r="V45" s="1"/>
      <c r="W45" s="1"/>
      <c r="X45" s="1"/>
      <c r="Y45" s="1"/>
      <c r="Z45" s="1"/>
    </row>
    <row r="46" spans="1:26" ht="37.5">
      <c r="A46" s="4" t="s">
        <v>6</v>
      </c>
      <c r="B46" s="5" t="s">
        <v>74</v>
      </c>
      <c r="C46" s="4" t="s">
        <v>8</v>
      </c>
      <c r="D46" s="4" t="s">
        <v>480</v>
      </c>
      <c r="E46" s="6" t="s">
        <v>94</v>
      </c>
      <c r="F46" s="7">
        <v>54439030</v>
      </c>
      <c r="G46" s="7">
        <f>F46</f>
        <v>54439030</v>
      </c>
      <c r="H46" s="33"/>
      <c r="I46" s="8" t="str">
        <f>IF($E46="","",IFERROR(IF(N($H46)&lt;&gt;0,"Chưa thanh toán đủ","Đã thanh toán đủ"),""))</f>
        <v>Đã thanh toán đủ</v>
      </c>
      <c r="J46" s="29" cm="1">
        <f t="array" ref="J46">IF($E46="","",IFERROR(_xlfn.IFS($D46="trọn gói",$F46*1%,$D46="tự lắp",$F46*0.8%,$D46="phân phối",$F46*0.2%),""))</f>
        <v>544390.30000000005</v>
      </c>
      <c r="K46" s="8"/>
      <c r="L46" s="1"/>
      <c r="M46" s="1"/>
      <c r="N46" s="1"/>
      <c r="O46" s="1"/>
      <c r="P46" s="1"/>
      <c r="Q46" s="1"/>
      <c r="R46" s="1"/>
      <c r="S46" s="1"/>
      <c r="T46" s="1"/>
      <c r="U46" s="1"/>
      <c r="V46" s="1"/>
      <c r="W46" s="1"/>
      <c r="X46" s="1"/>
      <c r="Y46" s="1"/>
      <c r="Z46" s="1"/>
    </row>
    <row r="47" spans="1:26" ht="12.5">
      <c r="A47" s="4"/>
      <c r="B47" s="5" t="s">
        <v>74</v>
      </c>
      <c r="C47" s="4" t="s">
        <v>8</v>
      </c>
      <c r="D47" s="4" t="s">
        <v>480</v>
      </c>
      <c r="E47" s="6"/>
      <c r="F47" s="7"/>
      <c r="G47" s="7">
        <f>F47</f>
        <v>0</v>
      </c>
      <c r="H47" s="33"/>
      <c r="I47" s="8" t="str">
        <f>IF($E47="","",IFERROR(IF(N($H47)&lt;&gt;0,"Chưa thanh toán đủ","Đã thanh toán đủ"),""))</f>
        <v/>
      </c>
      <c r="J47" s="29" t="str" cm="1">
        <f t="array" ref="J47">IF($E47="","",IFERROR(_xlfn.IFS($D47="trọn gói",$F47*1%,$D47="tự lắp",$F47*0.8%,$D47="phân phối",$F47*0.2%),""))</f>
        <v/>
      </c>
      <c r="K47" s="8"/>
      <c r="L47" s="1"/>
      <c r="M47" s="1"/>
      <c r="N47" s="1"/>
      <c r="O47" s="1"/>
      <c r="P47" s="1"/>
      <c r="Q47" s="1"/>
      <c r="R47" s="1"/>
      <c r="S47" s="1"/>
      <c r="T47" s="1"/>
      <c r="U47" s="1"/>
      <c r="V47" s="1"/>
      <c r="W47" s="1"/>
      <c r="X47" s="1"/>
      <c r="Y47" s="1"/>
      <c r="Z47" s="1"/>
    </row>
    <row r="48" spans="1:26" ht="37.5">
      <c r="A48" s="4" t="s">
        <v>42</v>
      </c>
      <c r="B48" s="5" t="s">
        <v>74</v>
      </c>
      <c r="C48" s="4" t="s">
        <v>8</v>
      </c>
      <c r="D48" s="4" t="s">
        <v>479</v>
      </c>
      <c r="E48" s="6" t="s">
        <v>95</v>
      </c>
      <c r="F48" s="7">
        <v>127738100</v>
      </c>
      <c r="G48" s="7">
        <v>127738100</v>
      </c>
      <c r="H48" s="33"/>
      <c r="I48" s="8" t="str">
        <f>IF($E48="","",IFERROR(IF(N($H48)&lt;&gt;0,"Chưa thanh toán đủ","Đã thanh toán đủ"),""))</f>
        <v>Đã thanh toán đủ</v>
      </c>
      <c r="J48" s="29" cm="1">
        <f t="array" ref="J48">IF($E48="","",IFERROR(_xlfn.IFS($D48="trọn gói",$F48*1%,$D48="tự lắp",$F48*0.8%,$D48="phân phối",$F48*0.2%),""))</f>
        <v>1021904.8</v>
      </c>
      <c r="K48" s="8" t="s">
        <v>96</v>
      </c>
      <c r="L48" s="1"/>
      <c r="M48" s="1"/>
      <c r="N48" s="1"/>
      <c r="O48" s="1"/>
      <c r="P48" s="1"/>
      <c r="Q48" s="1"/>
      <c r="R48" s="1"/>
      <c r="S48" s="1"/>
      <c r="T48" s="1"/>
      <c r="U48" s="1"/>
      <c r="V48" s="1"/>
      <c r="W48" s="1"/>
      <c r="X48" s="1"/>
      <c r="Y48" s="1"/>
      <c r="Z48" s="1"/>
    </row>
    <row r="49" spans="1:26" ht="25">
      <c r="A49" s="4" t="s">
        <v>42</v>
      </c>
      <c r="B49" s="5" t="s">
        <v>74</v>
      </c>
      <c r="C49" s="4" t="s">
        <v>8</v>
      </c>
      <c r="D49" s="4" t="s">
        <v>480</v>
      </c>
      <c r="E49" s="6" t="s">
        <v>97</v>
      </c>
      <c r="F49" s="7">
        <v>35400000</v>
      </c>
      <c r="G49" s="7">
        <v>35400000</v>
      </c>
      <c r="H49" s="33"/>
      <c r="I49" s="8" t="str">
        <f>IF($E49="","",IFERROR(IF(N($H49)&lt;&gt;0,"Chưa thanh toán đủ","Đã thanh toán đủ"),""))</f>
        <v>Đã thanh toán đủ</v>
      </c>
      <c r="J49" s="29" cm="1">
        <f t="array" ref="J49">IF($E49="","",IFERROR(_xlfn.IFS($D49="trọn gói",$F49*1%,$D49="tự lắp",$F49*0.8%,$D49="phân phối",$F49*0.2%),""))</f>
        <v>354000</v>
      </c>
      <c r="K49" s="8" t="s">
        <v>98</v>
      </c>
      <c r="L49" s="1"/>
      <c r="M49" s="1"/>
      <c r="N49" s="1"/>
      <c r="O49" s="1"/>
      <c r="P49" s="1"/>
      <c r="Q49" s="1"/>
      <c r="R49" s="1"/>
      <c r="S49" s="1"/>
      <c r="T49" s="1"/>
      <c r="U49" s="1"/>
      <c r="V49" s="1"/>
      <c r="W49" s="1"/>
      <c r="X49" s="1"/>
      <c r="Y49" s="1"/>
      <c r="Z49" s="1"/>
    </row>
    <row r="50" spans="1:26" ht="50">
      <c r="A50" s="4" t="s">
        <v>42</v>
      </c>
      <c r="B50" s="5" t="s">
        <v>74</v>
      </c>
      <c r="C50" s="4" t="s">
        <v>8</v>
      </c>
      <c r="D50" s="4" t="s">
        <v>480</v>
      </c>
      <c r="E50" s="6" t="s">
        <v>99</v>
      </c>
      <c r="F50" s="7">
        <v>105000000</v>
      </c>
      <c r="G50" s="7">
        <v>105000000</v>
      </c>
      <c r="H50" s="33"/>
      <c r="I50" s="8" t="str">
        <f>IF($E50="","",IFERROR(IF(N($H50)&lt;&gt;0,"Chưa thanh toán đủ","Đã thanh toán đủ"),""))</f>
        <v>Đã thanh toán đủ</v>
      </c>
      <c r="J50" s="29" cm="1">
        <f t="array" ref="J50">IF($E50="","",IFERROR(_xlfn.IFS($D50="trọn gói",$F50*1%,$D50="tự lắp",$F50*0.8%,$D50="phân phối",$F50*0.2%),""))</f>
        <v>1050000</v>
      </c>
      <c r="K50" s="8" t="s">
        <v>100</v>
      </c>
    </row>
    <row r="51" spans="1:26" ht="50">
      <c r="A51" s="4" t="s">
        <v>6</v>
      </c>
      <c r="B51" s="12" t="s">
        <v>101</v>
      </c>
      <c r="C51" s="4" t="s">
        <v>8</v>
      </c>
      <c r="D51" s="4" t="s">
        <v>480</v>
      </c>
      <c r="E51" s="9" t="s">
        <v>102</v>
      </c>
      <c r="F51" s="7">
        <v>88200000</v>
      </c>
      <c r="G51" s="7">
        <v>88200000</v>
      </c>
      <c r="H51" s="34"/>
      <c r="I51" s="8" t="str">
        <f>IF($E51="","",IFERROR(IF(N($H51)&lt;&gt;0,"Chưa thanh toán đủ","Đã thanh toán đủ"),""))</f>
        <v>Đã thanh toán đủ</v>
      </c>
      <c r="J51" s="30" cm="1">
        <f t="array" ref="J51">IF($E51="","",IFERROR(_xlfn.IFS($D51="trọn gói",$F51*1%,$D51="tự lắp",$F51*0.8%,$D51="phân phối",$F51*0.2%),""))</f>
        <v>882000</v>
      </c>
      <c r="K51" s="11" t="s">
        <v>103</v>
      </c>
    </row>
    <row r="52" spans="1:26" ht="37.5">
      <c r="A52" s="4" t="s">
        <v>6</v>
      </c>
      <c r="B52" s="12" t="s">
        <v>101</v>
      </c>
      <c r="C52" s="4" t="s">
        <v>8</v>
      </c>
      <c r="D52" s="4" t="s">
        <v>479</v>
      </c>
      <c r="E52" s="9" t="s">
        <v>104</v>
      </c>
      <c r="F52" s="7">
        <v>49300000</v>
      </c>
      <c r="G52" s="7">
        <v>49300000</v>
      </c>
      <c r="H52" s="34"/>
      <c r="I52" s="8" t="str">
        <f>IF($E52="","",IFERROR(IF(N($H52)&lt;&gt;0,"Chưa thanh toán đủ","Đã thanh toán đủ"),""))</f>
        <v>Đã thanh toán đủ</v>
      </c>
      <c r="J52" s="30" cm="1">
        <f t="array" ref="J52">IF($E52="","",IFERROR(_xlfn.IFS($D52="trọn gói",$F52*1%,$D52="tự lắp",$F52*0.8%,$D52="phân phối",$F52*0.2%),""))</f>
        <v>394400</v>
      </c>
      <c r="K52" s="11" t="s">
        <v>105</v>
      </c>
    </row>
    <row r="53" spans="1:26" ht="37.5">
      <c r="A53" s="4" t="s">
        <v>6</v>
      </c>
      <c r="B53" s="12" t="s">
        <v>101</v>
      </c>
      <c r="C53" s="4" t="s">
        <v>8</v>
      </c>
      <c r="D53" s="4" t="s">
        <v>479</v>
      </c>
      <c r="E53" s="9" t="s">
        <v>106</v>
      </c>
      <c r="F53" s="7">
        <v>89392500</v>
      </c>
      <c r="G53" s="7">
        <v>89392500</v>
      </c>
      <c r="H53" s="34"/>
      <c r="I53" s="8" t="str">
        <f>IF($E53="","",IFERROR(IF(N($H53)&lt;&gt;0,"Chưa thanh toán đủ","Đã thanh toán đủ"),""))</f>
        <v>Đã thanh toán đủ</v>
      </c>
      <c r="J53" s="30" cm="1">
        <f t="array" ref="J53">IF($E53="","",IFERROR(_xlfn.IFS($D53="trọn gói",$F53*1%,$D53="tự lắp",$F53*0.8%,$D53="phân phối",$F53*0.2%),""))</f>
        <v>715140</v>
      </c>
      <c r="K53" s="11" t="s">
        <v>107</v>
      </c>
    </row>
    <row r="54" spans="1:26" ht="37.5">
      <c r="A54" s="4" t="s">
        <v>6</v>
      </c>
      <c r="B54" s="12" t="s">
        <v>101</v>
      </c>
      <c r="C54" s="4" t="s">
        <v>8</v>
      </c>
      <c r="D54" s="4" t="s">
        <v>480</v>
      </c>
      <c r="E54" s="9" t="s">
        <v>108</v>
      </c>
      <c r="F54" s="7">
        <v>49300000</v>
      </c>
      <c r="G54" s="7">
        <v>49300000</v>
      </c>
      <c r="H54" s="34"/>
      <c r="I54" s="8" t="str">
        <f>IF($E54="","",IFERROR(IF(N($H54)&lt;&gt;0,"Chưa thanh toán đủ","Đã thanh toán đủ"),""))</f>
        <v>Đã thanh toán đủ</v>
      </c>
      <c r="J54" s="30" cm="1">
        <f t="array" ref="J54">IF($E54="","",IFERROR(_xlfn.IFS($D54="trọn gói",$F54*1%,$D54="tự lắp",$F54*0.8%,$D54="phân phối",$F54*0.2%),""))</f>
        <v>493000</v>
      </c>
      <c r="K54" s="11" t="s">
        <v>109</v>
      </c>
    </row>
    <row r="55" spans="1:26" ht="37.5">
      <c r="A55" s="4" t="s">
        <v>6</v>
      </c>
      <c r="B55" s="12" t="s">
        <v>101</v>
      </c>
      <c r="C55" s="4" t="s">
        <v>8</v>
      </c>
      <c r="D55" s="4" t="s">
        <v>479</v>
      </c>
      <c r="E55" s="9" t="s">
        <v>110</v>
      </c>
      <c r="F55" s="7">
        <v>44702500</v>
      </c>
      <c r="G55" s="7">
        <v>44702500</v>
      </c>
      <c r="H55" s="34"/>
      <c r="I55" s="8" t="str">
        <f>IF($E55="","",IFERROR(IF(N($H55)&lt;&gt;0,"Chưa thanh toán đủ","Đã thanh toán đủ"),""))</f>
        <v>Đã thanh toán đủ</v>
      </c>
      <c r="J55" s="30" cm="1">
        <f t="array" ref="J55">IF($E55="","",IFERROR(_xlfn.IFS($D55="trọn gói",$F55*1%,$D55="tự lắp",$F55*0.8%,$D55="phân phối",$F55*0.2%),""))</f>
        <v>357620</v>
      </c>
      <c r="K55" s="11" t="s">
        <v>111</v>
      </c>
    </row>
    <row r="56" spans="1:26" ht="25">
      <c r="A56" s="4" t="s">
        <v>6</v>
      </c>
      <c r="B56" s="12" t="s">
        <v>101</v>
      </c>
      <c r="C56" s="4" t="s">
        <v>8</v>
      </c>
      <c r="D56" s="4" t="s">
        <v>479</v>
      </c>
      <c r="E56" s="9" t="s">
        <v>112</v>
      </c>
      <c r="F56" s="7">
        <v>76903000</v>
      </c>
      <c r="G56" s="7">
        <f>F56</f>
        <v>76903000</v>
      </c>
      <c r="H56" s="34"/>
      <c r="I56" s="8" t="str">
        <f>IF($E56="","",IFERROR(IF(N($H56)&lt;&gt;0,"Chưa thanh toán đủ","Đã thanh toán đủ"),""))</f>
        <v>Đã thanh toán đủ</v>
      </c>
      <c r="J56" s="30" cm="1">
        <f t="array" ref="J56">IF($E56="","",IFERROR(_xlfn.IFS($D56="trọn gói",$F56*1%,$D56="tự lắp",$F56*0.8%,$D56="phân phối",$F56*0.2%),""))</f>
        <v>615224</v>
      </c>
      <c r="K56" s="11" t="s">
        <v>113</v>
      </c>
    </row>
    <row r="57" spans="1:26" ht="37.5">
      <c r="A57" s="4" t="s">
        <v>6</v>
      </c>
      <c r="B57" s="12" t="s">
        <v>101</v>
      </c>
      <c r="C57" s="4" t="s">
        <v>8</v>
      </c>
      <c r="D57" s="4" t="s">
        <v>479</v>
      </c>
      <c r="E57" s="9" t="s">
        <v>114</v>
      </c>
      <c r="F57" s="7">
        <v>79168000</v>
      </c>
      <c r="G57" s="7">
        <v>79168000</v>
      </c>
      <c r="H57" s="34"/>
      <c r="I57" s="8" t="str">
        <f>IF($E57="","",IFERROR(IF(N($H57)&lt;&gt;0,"Chưa thanh toán đủ","Đã thanh toán đủ"),""))</f>
        <v>Đã thanh toán đủ</v>
      </c>
      <c r="J57" s="30" cm="1">
        <f t="array" ref="J57">IF($E57="","",IFERROR(_xlfn.IFS($D57="trọn gói",$F57*1%,$D57="tự lắp",$F57*0.8%,$D57="phân phối",$F57*0.2%),""))</f>
        <v>633344</v>
      </c>
      <c r="K57" s="11" t="s">
        <v>115</v>
      </c>
    </row>
    <row r="58" spans="1:26" ht="37.5">
      <c r="A58" s="4" t="s">
        <v>6</v>
      </c>
      <c r="B58" s="12" t="s">
        <v>101</v>
      </c>
      <c r="C58" s="4" t="s">
        <v>8</v>
      </c>
      <c r="D58" s="4" t="s">
        <v>480</v>
      </c>
      <c r="E58" s="9" t="s">
        <v>116</v>
      </c>
      <c r="F58" s="7">
        <v>125914000</v>
      </c>
      <c r="G58" s="7">
        <v>125914000</v>
      </c>
      <c r="H58" s="34"/>
      <c r="I58" s="8" t="str">
        <f>IF($E58="","",IFERROR(IF(N($H58)&lt;&gt;0,"Chưa thanh toán đủ","Đã thanh toán đủ"),""))</f>
        <v>Đã thanh toán đủ</v>
      </c>
      <c r="J58" s="30" cm="1">
        <f t="array" ref="J58">IF($E58="","",IFERROR(_xlfn.IFS($D58="trọn gói",$F58*1%,$D58="tự lắp",$F58*0.8%,$D58="phân phối",$F58*0.2%),""))</f>
        <v>1259140</v>
      </c>
      <c r="K58" s="11" t="s">
        <v>117</v>
      </c>
    </row>
    <row r="59" spans="1:26" ht="50">
      <c r="A59" s="4" t="s">
        <v>6</v>
      </c>
      <c r="B59" s="12" t="s">
        <v>101</v>
      </c>
      <c r="C59" s="4" t="s">
        <v>8</v>
      </c>
      <c r="D59" s="4" t="s">
        <v>480</v>
      </c>
      <c r="E59" s="9" t="s">
        <v>118</v>
      </c>
      <c r="F59" s="7">
        <v>60633000</v>
      </c>
      <c r="G59" s="7">
        <v>6000000</v>
      </c>
      <c r="H59" s="34">
        <f t="shared" ref="H59" si="6">F59-G59</f>
        <v>54633000</v>
      </c>
      <c r="I59" s="8" t="str">
        <f>IF($E59="","",IFERROR(IF(N($H59)&lt;&gt;0,"Chưa thanh toán đủ","Đã thanh toán đủ"),""))</f>
        <v>Chưa thanh toán đủ</v>
      </c>
      <c r="J59" s="30" cm="1">
        <f t="array" ref="J59">IF($E59="","",IFERROR(_xlfn.IFS($D59="trọn gói",$F59*1%,$D59="tự lắp",$F59*0.8%,$D59="phân phối",$F59*0.2%),""))</f>
        <v>606330</v>
      </c>
      <c r="K59" s="11" t="s">
        <v>119</v>
      </c>
    </row>
    <row r="60" spans="1:26" ht="37.5">
      <c r="A60" s="4" t="s">
        <v>6</v>
      </c>
      <c r="B60" s="12" t="s">
        <v>101</v>
      </c>
      <c r="C60" s="4" t="s">
        <v>8</v>
      </c>
      <c r="D60" s="4" t="s">
        <v>148</v>
      </c>
      <c r="E60" s="9" t="s">
        <v>120</v>
      </c>
      <c r="F60" s="7">
        <v>17500000</v>
      </c>
      <c r="G60" s="7">
        <f>F60</f>
        <v>17500000</v>
      </c>
      <c r="H60" s="34"/>
      <c r="I60" s="8" t="str">
        <f>IF($E60="","",IFERROR(IF(N($H60)&lt;&gt;0,"Chưa thanh toán đủ","Đã thanh toán đủ"),""))</f>
        <v>Đã thanh toán đủ</v>
      </c>
      <c r="J60" s="30" cm="1">
        <f t="array" ref="J60">IF($E60="","",IFERROR(_xlfn.IFS($D60="trọn gói",$F60*1%,$D60="tự lắp",$F60*0.8%,$D60="phân phối",$F60*0.2%),""))</f>
        <v>35000</v>
      </c>
      <c r="K60" s="11" t="s">
        <v>121</v>
      </c>
    </row>
    <row r="61" spans="1:26" ht="37.5">
      <c r="A61" s="4" t="s">
        <v>6</v>
      </c>
      <c r="B61" s="12" t="s">
        <v>101</v>
      </c>
      <c r="C61" s="4" t="s">
        <v>8</v>
      </c>
      <c r="D61" s="4" t="s">
        <v>479</v>
      </c>
      <c r="E61" s="9" t="s">
        <v>122</v>
      </c>
      <c r="F61" s="7">
        <v>44235000</v>
      </c>
      <c r="G61" s="7">
        <v>44235000</v>
      </c>
      <c r="H61" s="34"/>
      <c r="I61" s="8" t="str">
        <f>IF($E61="","",IFERROR(IF(N($H61)&lt;&gt;0,"Chưa thanh toán đủ","Đã thanh toán đủ"),""))</f>
        <v>Đã thanh toán đủ</v>
      </c>
      <c r="J61" s="30" cm="1">
        <f t="array" ref="J61">IF($E61="","",IFERROR(_xlfn.IFS($D61="trọn gói",$F61*1%,$D61="tự lắp",$F61*0.8%,$D61="phân phối",$F61*0.2%),""))</f>
        <v>353880</v>
      </c>
      <c r="K61" s="11" t="s">
        <v>123</v>
      </c>
    </row>
    <row r="62" spans="1:26" ht="37.5">
      <c r="A62" s="4" t="s">
        <v>6</v>
      </c>
      <c r="B62" s="12" t="s">
        <v>101</v>
      </c>
      <c r="C62" s="4" t="s">
        <v>8</v>
      </c>
      <c r="D62" s="4" t="s">
        <v>479</v>
      </c>
      <c r="E62" s="9" t="s">
        <v>124</v>
      </c>
      <c r="F62" s="7">
        <v>6000000</v>
      </c>
      <c r="G62" s="7">
        <f t="shared" ref="G62:G63" si="7">F62</f>
        <v>6000000</v>
      </c>
      <c r="H62" s="34"/>
      <c r="I62" s="8" t="str">
        <f>IF($E62="","",IFERROR(IF(N($H62)&lt;&gt;0,"Chưa thanh toán đủ","Đã thanh toán đủ"),""))</f>
        <v>Đã thanh toán đủ</v>
      </c>
      <c r="J62" s="30" cm="1">
        <f t="array" ref="J62">IF($E62="","",IFERROR(_xlfn.IFS($D62="trọn gói",$F62*1%,$D62="tự lắp",$F62*0.8%,$D62="phân phối",$F62*0.2%),""))</f>
        <v>48000</v>
      </c>
      <c r="K62" s="11" t="s">
        <v>125</v>
      </c>
    </row>
    <row r="63" spans="1:26" ht="37.5">
      <c r="A63" s="4" t="s">
        <v>6</v>
      </c>
      <c r="B63" s="12" t="s">
        <v>101</v>
      </c>
      <c r="C63" s="4" t="s">
        <v>8</v>
      </c>
      <c r="D63" s="4" t="s">
        <v>479</v>
      </c>
      <c r="E63" s="9" t="s">
        <v>126</v>
      </c>
      <c r="F63" s="7">
        <v>244161400</v>
      </c>
      <c r="G63" s="7">
        <f t="shared" si="7"/>
        <v>244161400</v>
      </c>
      <c r="H63" s="34"/>
      <c r="I63" s="8" t="str">
        <f>IF($E63="","",IFERROR(IF(N($H63)&lt;&gt;0,"Chưa thanh toán đủ","Đã thanh toán đủ"),""))</f>
        <v>Đã thanh toán đủ</v>
      </c>
      <c r="J63" s="30" cm="1">
        <f t="array" ref="J63">IF($E63="","",IFERROR(_xlfn.IFS($D63="trọn gói",$F63*1%,$D63="tự lắp",$F63*0.8%,$D63="phân phối",$F63*0.2%),""))</f>
        <v>1953291.2</v>
      </c>
      <c r="K63" s="11" t="s">
        <v>127</v>
      </c>
    </row>
    <row r="64" spans="1:26" ht="25">
      <c r="A64" s="4" t="s">
        <v>6</v>
      </c>
      <c r="B64" s="12" t="s">
        <v>101</v>
      </c>
      <c r="C64" s="4" t="s">
        <v>8</v>
      </c>
      <c r="D64" s="4" t="s">
        <v>479</v>
      </c>
      <c r="E64" s="9" t="s">
        <v>128</v>
      </c>
      <c r="F64" s="7">
        <f>49500000</f>
        <v>49500000</v>
      </c>
      <c r="G64" s="7">
        <v>49500000</v>
      </c>
      <c r="H64" s="34"/>
      <c r="I64" s="8" t="str">
        <f>IF($E64="","",IFERROR(IF(N($H64)&lt;&gt;0,"Chưa thanh toán đủ","Đã thanh toán đủ"),""))</f>
        <v>Đã thanh toán đủ</v>
      </c>
      <c r="J64" s="30" cm="1">
        <f t="array" ref="J64">IF($E64="","",IFERROR(_xlfn.IFS($D64="trọn gói",$F64*1%,$D64="tự lắp",$F64*0.8%,$D64="phân phối",$F64*0.2%),""))</f>
        <v>396000</v>
      </c>
      <c r="K64" s="11" t="s">
        <v>129</v>
      </c>
    </row>
    <row r="65" spans="1:26" ht="37.5">
      <c r="A65" s="4" t="s">
        <v>6</v>
      </c>
      <c r="B65" s="12" t="s">
        <v>101</v>
      </c>
      <c r="C65" s="4" t="s">
        <v>8</v>
      </c>
      <c r="D65" s="4" t="s">
        <v>480</v>
      </c>
      <c r="E65" s="9" t="s">
        <v>130</v>
      </c>
      <c r="F65" s="7">
        <v>96000000</v>
      </c>
      <c r="G65" s="7">
        <f>F65</f>
        <v>96000000</v>
      </c>
      <c r="H65" s="34"/>
      <c r="I65" s="8" t="str">
        <f>IF($E65="","",IFERROR(IF(N($H65)&lt;&gt;0,"Chưa thanh toán đủ","Đã thanh toán đủ"),""))</f>
        <v>Đã thanh toán đủ</v>
      </c>
      <c r="J65" s="30" cm="1">
        <f t="array" ref="J65">IF($E65="","",IFERROR(_xlfn.IFS($D65="trọn gói",$F65*1%,$D65="tự lắp",$F65*0.8%,$D65="phân phối",$F65*0.2%),""))</f>
        <v>960000</v>
      </c>
      <c r="K65" s="11" t="s">
        <v>131</v>
      </c>
    </row>
    <row r="66" spans="1:26" ht="62.5">
      <c r="A66" s="4" t="s">
        <v>6</v>
      </c>
      <c r="B66" s="12" t="s">
        <v>101</v>
      </c>
      <c r="C66" s="4" t="s">
        <v>8</v>
      </c>
      <c r="D66" s="4" t="s">
        <v>479</v>
      </c>
      <c r="E66" s="9" t="s">
        <v>132</v>
      </c>
      <c r="F66" s="7">
        <v>130694800</v>
      </c>
      <c r="G66" s="7">
        <v>130694800</v>
      </c>
      <c r="H66" s="34"/>
      <c r="I66" s="8" t="str">
        <f>IF($E66="","",IFERROR(IF(N($H66)&lt;&gt;0,"Chưa thanh toán đủ","Đã thanh toán đủ"),""))</f>
        <v>Đã thanh toán đủ</v>
      </c>
      <c r="J66" s="30" cm="1">
        <f t="array" ref="J66">IF($E66="","",IFERROR(_xlfn.IFS($D66="trọn gói",$F66*1%,$D66="tự lắp",$F66*0.8%,$D66="phân phối",$F66*0.2%),""))</f>
        <v>1045558.4</v>
      </c>
      <c r="K66" s="11" t="s">
        <v>133</v>
      </c>
    </row>
    <row r="67" spans="1:26" ht="25">
      <c r="A67" s="4" t="s">
        <v>6</v>
      </c>
      <c r="B67" s="12" t="s">
        <v>101</v>
      </c>
      <c r="C67" s="4" t="s">
        <v>8</v>
      </c>
      <c r="D67" s="4" t="s">
        <v>479</v>
      </c>
      <c r="E67" s="9" t="s">
        <v>134</v>
      </c>
      <c r="F67" s="7">
        <v>75524000</v>
      </c>
      <c r="G67" s="7">
        <f>F67</f>
        <v>75524000</v>
      </c>
      <c r="H67" s="34"/>
      <c r="I67" s="8" t="str">
        <f>IF($E67="","",IFERROR(IF(N($H67)&lt;&gt;0,"Chưa thanh toán đủ","Đã thanh toán đủ"),""))</f>
        <v>Đã thanh toán đủ</v>
      </c>
      <c r="J67" s="30" cm="1">
        <f t="array" ref="J67">IF($E67="","",IFERROR(_xlfn.IFS($D67="trọn gói",$F67*1%,$D67="tự lắp",$F67*0.8%,$D67="phân phối",$F67*0.2%),""))</f>
        <v>604192</v>
      </c>
      <c r="K67" s="11"/>
    </row>
    <row r="68" spans="1:26" ht="50">
      <c r="A68" s="4" t="s">
        <v>6</v>
      </c>
      <c r="B68" s="12" t="s">
        <v>101</v>
      </c>
      <c r="C68" s="4" t="s">
        <v>8</v>
      </c>
      <c r="D68" s="4" t="s">
        <v>480</v>
      </c>
      <c r="E68" s="9" t="s">
        <v>135</v>
      </c>
      <c r="F68" s="7">
        <v>99450000</v>
      </c>
      <c r="G68" s="7">
        <v>99450000</v>
      </c>
      <c r="H68" s="34"/>
      <c r="I68" s="8" t="str">
        <f>IF($E68="","",IFERROR(IF(N($H68)&lt;&gt;0,"Chưa thanh toán đủ","Đã thanh toán đủ"),""))</f>
        <v>Đã thanh toán đủ</v>
      </c>
      <c r="J68" s="30" cm="1">
        <f t="array" ref="J68">IF($E68="","",IFERROR(_xlfn.IFS($D68="trọn gói",$F68*1%,$D68="tự lắp",$F68*0.8%,$D68="phân phối",$F68*0.2%),""))</f>
        <v>994500</v>
      </c>
      <c r="K68" s="11" t="s">
        <v>136</v>
      </c>
    </row>
    <row r="69" spans="1:26" ht="62.5">
      <c r="A69" s="4" t="s">
        <v>6</v>
      </c>
      <c r="B69" s="12" t="s">
        <v>101</v>
      </c>
      <c r="C69" s="4" t="s">
        <v>8</v>
      </c>
      <c r="D69" s="4" t="s">
        <v>480</v>
      </c>
      <c r="E69" s="9" t="s">
        <v>137</v>
      </c>
      <c r="F69" s="7">
        <v>166642000</v>
      </c>
      <c r="G69" s="7">
        <v>166642000</v>
      </c>
      <c r="H69" s="34"/>
      <c r="I69" s="8" t="str">
        <f>IF($E69="","",IFERROR(IF(N($H69)&lt;&gt;0,"Chưa thanh toán đủ","Đã thanh toán đủ"),""))</f>
        <v>Đã thanh toán đủ</v>
      </c>
      <c r="J69" s="30" cm="1">
        <f t="array" ref="J69">IF($E69="","",IFERROR(_xlfn.IFS($D69="trọn gói",$F69*1%,$D69="tự lắp",$F69*0.8%,$D69="phân phối",$F69*0.2%),""))</f>
        <v>1666420</v>
      </c>
      <c r="K69" s="11"/>
    </row>
    <row r="70" spans="1:26" ht="37.5">
      <c r="A70" s="4" t="s">
        <v>6</v>
      </c>
      <c r="B70" s="12" t="s">
        <v>101</v>
      </c>
      <c r="C70" s="4" t="s">
        <v>8</v>
      </c>
      <c r="D70" s="4" t="s">
        <v>479</v>
      </c>
      <c r="E70" s="9" t="s">
        <v>138</v>
      </c>
      <c r="F70" s="7">
        <v>69044000</v>
      </c>
      <c r="G70" s="7">
        <v>69044000</v>
      </c>
      <c r="H70" s="34"/>
      <c r="I70" s="8" t="str">
        <f>IF($E70="","",IFERROR(IF(N($H70)&lt;&gt;0,"Chưa thanh toán đủ","Đã thanh toán đủ"),""))</f>
        <v>Đã thanh toán đủ</v>
      </c>
      <c r="J70" s="30" cm="1">
        <f t="array" ref="J70">IF($E70="","",IFERROR(_xlfn.IFS($D70="trọn gói",$F70*1%,$D70="tự lắp",$F70*0.8%,$D70="phân phối",$F70*0.2%),""))</f>
        <v>552352</v>
      </c>
      <c r="K70" s="11" t="s">
        <v>139</v>
      </c>
    </row>
    <row r="71" spans="1:26" ht="25">
      <c r="A71" s="4" t="s">
        <v>6</v>
      </c>
      <c r="B71" s="12" t="s">
        <v>101</v>
      </c>
      <c r="C71" s="4" t="s">
        <v>8</v>
      </c>
      <c r="D71" s="4" t="s">
        <v>148</v>
      </c>
      <c r="E71" s="9" t="s">
        <v>140</v>
      </c>
      <c r="F71" s="7">
        <v>20312500</v>
      </c>
      <c r="G71" s="7">
        <v>20312500</v>
      </c>
      <c r="H71" s="34"/>
      <c r="I71" s="8" t="str">
        <f>IF($E71="","",IFERROR(IF(N($H71)&lt;&gt;0,"Chưa thanh toán đủ","Đã thanh toán đủ"),""))</f>
        <v>Đã thanh toán đủ</v>
      </c>
      <c r="J71" s="30" cm="1">
        <f t="array" ref="J71">IF($E71="","",IFERROR(_xlfn.IFS($D71="trọn gói",$F71*1%,$D71="tự lắp",$F71*0.8%,$D71="phân phối",$F71*0.2%),""))</f>
        <v>40625</v>
      </c>
      <c r="K71" s="11" t="s">
        <v>141</v>
      </c>
    </row>
    <row r="72" spans="1:26" ht="50">
      <c r="A72" s="4" t="s">
        <v>6</v>
      </c>
      <c r="B72" s="12" t="s">
        <v>101</v>
      </c>
      <c r="C72" s="4" t="s">
        <v>8</v>
      </c>
      <c r="D72" s="4" t="s">
        <v>480</v>
      </c>
      <c r="E72" s="9" t="s">
        <v>142</v>
      </c>
      <c r="F72" s="7">
        <v>105525600</v>
      </c>
      <c r="G72" s="7">
        <v>105525600</v>
      </c>
      <c r="H72" s="34"/>
      <c r="I72" s="8" t="str">
        <f>IF($E72="","",IFERROR(IF(N($H72)&lt;&gt;0,"Chưa thanh toán đủ","Đã thanh toán đủ"),""))</f>
        <v>Đã thanh toán đủ</v>
      </c>
      <c r="J72" s="30" cm="1">
        <f t="array" ref="J72">IF($E72="","",IFERROR(_xlfn.IFS($D72="trọn gói",$F72*1%,$D72="tự lắp",$F72*0.8%,$D72="phân phối",$F72*0.2%),""))</f>
        <v>1055256</v>
      </c>
      <c r="K72" s="11" t="s">
        <v>143</v>
      </c>
    </row>
    <row r="73" spans="1:26" ht="37.5">
      <c r="A73" s="4" t="s">
        <v>6</v>
      </c>
      <c r="B73" s="12" t="s">
        <v>101</v>
      </c>
      <c r="C73" s="4" t="s">
        <v>8</v>
      </c>
      <c r="D73" s="4" t="s">
        <v>480</v>
      </c>
      <c r="E73" s="9" t="s">
        <v>144</v>
      </c>
      <c r="F73" s="7">
        <v>395704000</v>
      </c>
      <c r="G73" s="7">
        <v>10000000</v>
      </c>
      <c r="H73" s="34"/>
      <c r="I73" s="8" t="str">
        <f>IF($E73="","",IFERROR(IF(N($H73)&lt;&gt;0,"Chưa thanh toán đủ","Đã thanh toán đủ"),""))</f>
        <v>Đã thanh toán đủ</v>
      </c>
      <c r="J73" s="30" cm="1">
        <f t="array" ref="J73">IF($E73="","",IFERROR(_xlfn.IFS($D73="trọn gói",$F73*1%,$D73="tự lắp",$F73*0.8%,$D73="phân phối",$F73*0.2%),""))</f>
        <v>3957040</v>
      </c>
      <c r="K73" s="11"/>
    </row>
    <row r="74" spans="1:26" ht="37.5">
      <c r="A74" s="4" t="s">
        <v>6</v>
      </c>
      <c r="B74" s="12" t="s">
        <v>101</v>
      </c>
      <c r="C74" s="4" t="s">
        <v>8</v>
      </c>
      <c r="D74" s="4" t="s">
        <v>480</v>
      </c>
      <c r="E74" s="9" t="s">
        <v>145</v>
      </c>
      <c r="F74" s="7">
        <v>113000000</v>
      </c>
      <c r="G74" s="7">
        <f t="shared" ref="G74:G80" si="8">F74</f>
        <v>113000000</v>
      </c>
      <c r="H74" s="34"/>
      <c r="I74" s="8" t="str">
        <f>IF($E74="","",IFERROR(IF(N($H74)&lt;&gt;0,"Chưa thanh toán đủ","Đã thanh toán đủ"),""))</f>
        <v>Đã thanh toán đủ</v>
      </c>
      <c r="J74" s="38" cm="1">
        <f t="array" ref="J74">IF($E74="","",IFERROR(_xlfn.IFS($D74="trọn gói",$F74*1%,$D74="tự lắp",$F74*0.8%,$D74="phân phối",$F74*0.2%),""))</f>
        <v>1130000</v>
      </c>
      <c r="K74" s="28" t="s">
        <v>146</v>
      </c>
    </row>
    <row r="75" spans="1:26" ht="51">
      <c r="A75" s="4" t="s">
        <v>6</v>
      </c>
      <c r="B75" s="12" t="s">
        <v>101</v>
      </c>
      <c r="C75" s="4" t="s">
        <v>8</v>
      </c>
      <c r="D75" s="4" t="s">
        <v>479</v>
      </c>
      <c r="E75" s="6" t="s">
        <v>147</v>
      </c>
      <c r="F75" s="13">
        <v>161632200</v>
      </c>
      <c r="G75" s="7">
        <f t="shared" si="8"/>
        <v>161632200</v>
      </c>
      <c r="H75" s="35"/>
      <c r="I75" s="8" t="str">
        <f>IF($E75="","",IFERROR(IF(N($H75)&lt;&gt;0,"Chưa thanh toán đủ","Đã thanh toán đủ"),""))</f>
        <v>Đã thanh toán đủ</v>
      </c>
      <c r="J75" s="31" cm="1">
        <f t="array" ref="J75">IF($E75="","",IFERROR(_xlfn.IFS($D75="trọn gói",$F75*1%,$D75="tự lắp",$F75*0.8%,$D75="phân phối",$F75*0.2%),""))</f>
        <v>1293057.6000000001</v>
      </c>
      <c r="K75" s="14"/>
      <c r="L75" s="1"/>
      <c r="M75" s="1"/>
      <c r="N75" s="1"/>
      <c r="O75" s="1"/>
      <c r="P75" s="1"/>
      <c r="Q75" s="1"/>
      <c r="R75" s="1"/>
      <c r="S75" s="1"/>
      <c r="T75" s="1"/>
      <c r="U75" s="1"/>
      <c r="V75" s="1"/>
      <c r="W75" s="1"/>
      <c r="X75" s="1"/>
      <c r="Y75" s="1"/>
      <c r="Z75" s="1"/>
    </row>
    <row r="76" spans="1:26" ht="50">
      <c r="A76" s="4" t="s">
        <v>6</v>
      </c>
      <c r="B76" s="12" t="s">
        <v>101</v>
      </c>
      <c r="C76" s="4" t="s">
        <v>8</v>
      </c>
      <c r="D76" s="4" t="s">
        <v>148</v>
      </c>
      <c r="E76" s="9" t="s">
        <v>149</v>
      </c>
      <c r="F76" s="7">
        <v>437000000</v>
      </c>
      <c r="G76" s="7">
        <f t="shared" si="8"/>
        <v>437000000</v>
      </c>
      <c r="H76" s="34"/>
      <c r="I76" s="8" t="str">
        <f>IF($E76="","",IFERROR(IF(N($H76)&lt;&gt;0,"Chưa thanh toán đủ","Đã thanh toán đủ"),""))</f>
        <v>Đã thanh toán đủ</v>
      </c>
      <c r="J76" s="30" cm="1">
        <f t="array" ref="J76">IF($E76="","",IFERROR(_xlfn.IFS($D76="trọn gói",$F76*1%,$D76="tự lắp",$F76*0.8%,$D76="phân phối",$F76*0.2%),""))</f>
        <v>874000</v>
      </c>
      <c r="K76" s="11" t="s">
        <v>150</v>
      </c>
    </row>
    <row r="77" spans="1:26" ht="37.5">
      <c r="A77" s="4" t="s">
        <v>49</v>
      </c>
      <c r="B77" s="12" t="s">
        <v>101</v>
      </c>
      <c r="C77" s="4" t="s">
        <v>8</v>
      </c>
      <c r="D77" s="4" t="s">
        <v>480</v>
      </c>
      <c r="E77" s="9" t="s">
        <v>151</v>
      </c>
      <c r="F77" s="7">
        <v>104000000</v>
      </c>
      <c r="G77" s="7">
        <f t="shared" si="8"/>
        <v>104000000</v>
      </c>
      <c r="H77" s="34"/>
      <c r="I77" s="8" t="str">
        <f>IF($E77="","",IFERROR(IF(N($H77)&lt;&gt;0,"Chưa thanh toán đủ","Đã thanh toán đủ"),""))</f>
        <v>Đã thanh toán đủ</v>
      </c>
      <c r="J77" s="30" cm="1">
        <f t="array" ref="J77">IF($E77="","",IFERROR(_xlfn.IFS($D77="trọn gói",$F77*1%,$D77="tự lắp",$F77*0.8%,$D77="phân phối",$F77*0.2%),""))</f>
        <v>1040000</v>
      </c>
      <c r="K77" s="11" t="s">
        <v>152</v>
      </c>
    </row>
    <row r="78" spans="1:26" ht="25">
      <c r="A78" s="4" t="s">
        <v>49</v>
      </c>
      <c r="B78" s="12" t="s">
        <v>101</v>
      </c>
      <c r="C78" s="4" t="s">
        <v>8</v>
      </c>
      <c r="D78" s="4" t="s">
        <v>480</v>
      </c>
      <c r="E78" s="9" t="s">
        <v>153</v>
      </c>
      <c r="F78" s="7">
        <f>73500000+4500000</f>
        <v>78000000</v>
      </c>
      <c r="G78" s="7">
        <f t="shared" si="8"/>
        <v>78000000</v>
      </c>
      <c r="H78" s="34"/>
      <c r="I78" s="8" t="str">
        <f>IF($E78="","",IFERROR(IF(N($H78)&lt;&gt;0,"Chưa thanh toán đủ","Đã thanh toán đủ"),""))</f>
        <v>Đã thanh toán đủ</v>
      </c>
      <c r="J78" s="30" cm="1">
        <f t="array" ref="J78">IF($E78="","",IFERROR(_xlfn.IFS($D78="trọn gói",$F78*1%,$D78="tự lắp",$F78*0.8%,$D78="phân phối",$F78*0.2%),""))</f>
        <v>780000</v>
      </c>
      <c r="K78" s="11" t="s">
        <v>154</v>
      </c>
    </row>
    <row r="79" spans="1:26" ht="12.5">
      <c r="A79" s="4" t="s">
        <v>49</v>
      </c>
      <c r="B79" s="12" t="s">
        <v>101</v>
      </c>
      <c r="C79" s="4" t="s">
        <v>8</v>
      </c>
      <c r="D79" s="4" t="s">
        <v>480</v>
      </c>
      <c r="E79" s="9" t="s">
        <v>155</v>
      </c>
      <c r="F79" s="7">
        <v>405000000</v>
      </c>
      <c r="G79" s="7">
        <f t="shared" si="8"/>
        <v>405000000</v>
      </c>
      <c r="H79" s="34"/>
      <c r="I79" s="8" t="str">
        <f>IF($E79="","",IFERROR(IF(N($H79)&lt;&gt;0,"Chưa thanh toán đủ","Đã thanh toán đủ"),""))</f>
        <v>Đã thanh toán đủ</v>
      </c>
      <c r="J79" s="30" cm="1">
        <f t="array" ref="J79">IF($E79="","",IFERROR(_xlfn.IFS($D79="trọn gói",$F79*1%,$D79="tự lắp",$F79*0.8%,$D79="phân phối",$F79*0.2%),""))</f>
        <v>4050000</v>
      </c>
      <c r="K79" s="11" t="s">
        <v>156</v>
      </c>
    </row>
    <row r="80" spans="1:26" ht="25">
      <c r="A80" s="4" t="s">
        <v>49</v>
      </c>
      <c r="B80" s="12" t="s">
        <v>101</v>
      </c>
      <c r="C80" s="4" t="s">
        <v>8</v>
      </c>
      <c r="D80" s="4" t="s">
        <v>480</v>
      </c>
      <c r="E80" s="9" t="s">
        <v>157</v>
      </c>
      <c r="F80" s="7">
        <v>139000000</v>
      </c>
      <c r="G80" s="7">
        <f t="shared" si="8"/>
        <v>139000000</v>
      </c>
      <c r="H80" s="34"/>
      <c r="I80" s="8" t="str">
        <f>IF($E80="","",IFERROR(IF(N($H80)&lt;&gt;0,"Chưa thanh toán đủ","Đã thanh toán đủ"),""))</f>
        <v>Đã thanh toán đủ</v>
      </c>
      <c r="J80" s="30" cm="1">
        <f t="array" ref="J80">IF($E80="","",IFERROR(_xlfn.IFS($D80="trọn gói",$F80*1%,$D80="tự lắp",$F80*0.8%,$D80="phân phối",$F80*0.2%),""))</f>
        <v>1390000</v>
      </c>
      <c r="K80" s="11" t="s">
        <v>158</v>
      </c>
    </row>
    <row r="81" spans="1:11" ht="25">
      <c r="A81" s="4" t="s">
        <v>49</v>
      </c>
      <c r="B81" s="12" t="s">
        <v>101</v>
      </c>
      <c r="C81" s="4" t="s">
        <v>23</v>
      </c>
      <c r="D81" s="4" t="s">
        <v>480</v>
      </c>
      <c r="E81" s="9" t="s">
        <v>159</v>
      </c>
      <c r="F81" s="7">
        <v>90000000</v>
      </c>
      <c r="G81" s="7">
        <v>5000000</v>
      </c>
      <c r="H81" s="34">
        <f t="shared" ref="H81" si="9">F81-G81</f>
        <v>85000000</v>
      </c>
      <c r="I81" s="8" t="str">
        <f>IF($E81="","",IFERROR(IF(N($H81)&lt;&gt;0,"Chưa thanh toán đủ","Đã thanh toán đủ"),""))</f>
        <v>Chưa thanh toán đủ</v>
      </c>
      <c r="J81" s="30" cm="1">
        <f t="array" ref="J81">IF($E81="","",IFERROR(_xlfn.IFS($D81="trọn gói",$F81*1%,$D81="tự lắp",$F81*0.8%,$D81="phân phối",$F81*0.2%),""))</f>
        <v>900000</v>
      </c>
      <c r="K81" s="11" t="s">
        <v>160</v>
      </c>
    </row>
    <row r="82" spans="1:11" ht="12.5">
      <c r="A82" s="4" t="s">
        <v>49</v>
      </c>
      <c r="B82" s="12" t="s">
        <v>101</v>
      </c>
      <c r="C82" s="4" t="s">
        <v>8</v>
      </c>
      <c r="D82" s="4" t="s">
        <v>480</v>
      </c>
      <c r="E82" s="9" t="s">
        <v>161</v>
      </c>
      <c r="F82" s="7">
        <v>65000000</v>
      </c>
      <c r="G82" s="7">
        <f t="shared" ref="G82:G83" si="10">F82</f>
        <v>65000000</v>
      </c>
      <c r="H82" s="34"/>
      <c r="I82" s="8" t="str">
        <f>IF($E82="","",IFERROR(IF(N($H82)&lt;&gt;0,"Chưa thanh toán đủ","Đã thanh toán đủ"),""))</f>
        <v>Đã thanh toán đủ</v>
      </c>
      <c r="J82" s="30" cm="1">
        <f t="array" ref="J82">IF($E82="","",IFERROR(_xlfn.IFS($D82="trọn gói",$F82*1%,$D82="tự lắp",$F82*0.8%,$D82="phân phối",$F82*0.2%),""))</f>
        <v>650000</v>
      </c>
      <c r="K82" s="11" t="s">
        <v>162</v>
      </c>
    </row>
    <row r="83" spans="1:11" ht="12.5">
      <c r="A83" s="4" t="s">
        <v>49</v>
      </c>
      <c r="B83" s="12" t="s">
        <v>101</v>
      </c>
      <c r="C83" s="4" t="s">
        <v>8</v>
      </c>
      <c r="D83" s="4" t="s">
        <v>479</v>
      </c>
      <c r="E83" s="9" t="s">
        <v>163</v>
      </c>
      <c r="F83" s="7">
        <v>29500000</v>
      </c>
      <c r="G83" s="7">
        <f t="shared" si="10"/>
        <v>29500000</v>
      </c>
      <c r="H83" s="34"/>
      <c r="I83" s="8" t="str">
        <f>IF($E83="","",IFERROR(IF(N($H83)&lt;&gt;0,"Chưa thanh toán đủ","Đã thanh toán đủ"),""))</f>
        <v>Đã thanh toán đủ</v>
      </c>
      <c r="J83" s="30" cm="1">
        <f t="array" ref="J83">IF($E83="","",IFERROR(_xlfn.IFS($D83="trọn gói",$F83*1%,$D83="tự lắp",$F83*0.8%,$D83="phân phối",$F83*0.2%),""))</f>
        <v>236000</v>
      </c>
      <c r="K83" s="11" t="s">
        <v>164</v>
      </c>
    </row>
    <row r="84" spans="1:11" ht="50">
      <c r="A84" s="4" t="s">
        <v>62</v>
      </c>
      <c r="B84" s="12" t="s">
        <v>101</v>
      </c>
      <c r="C84" s="4" t="s">
        <v>8</v>
      </c>
      <c r="D84" s="4" t="s">
        <v>480</v>
      </c>
      <c r="E84" s="9" t="s">
        <v>165</v>
      </c>
      <c r="F84" s="7">
        <v>90000000</v>
      </c>
      <c r="G84" s="7">
        <v>90000000</v>
      </c>
      <c r="H84" s="34"/>
      <c r="I84" s="8" t="str">
        <f>IF($E84="","",IFERROR(IF(N($H84)&lt;&gt;0,"Chưa thanh toán đủ","Đã thanh toán đủ"),""))</f>
        <v>Đã thanh toán đủ</v>
      </c>
      <c r="J84" s="30" cm="1">
        <f t="array" ref="J84">IF($E84="","",IFERROR(_xlfn.IFS($D84="trọn gói",$F84*1%,$D84="tự lắp",$F84*0.8%,$D84="phân phối",$F84*0.2%),""))</f>
        <v>900000</v>
      </c>
      <c r="K84" s="11"/>
    </row>
    <row r="85" spans="1:11" ht="62.5">
      <c r="A85" s="4" t="s">
        <v>62</v>
      </c>
      <c r="B85" s="12" t="s">
        <v>101</v>
      </c>
      <c r="C85" s="4" t="s">
        <v>8</v>
      </c>
      <c r="D85" s="4" t="s">
        <v>480</v>
      </c>
      <c r="E85" s="9" t="s">
        <v>166</v>
      </c>
      <c r="F85" s="7">
        <v>67000000</v>
      </c>
      <c r="G85" s="7">
        <v>67000000</v>
      </c>
      <c r="H85" s="34"/>
      <c r="I85" s="8" t="str">
        <f>IF($E85="","",IFERROR(IF(N($H85)&lt;&gt;0,"Chưa thanh toán đủ","Đã thanh toán đủ"),""))</f>
        <v>Đã thanh toán đủ</v>
      </c>
      <c r="J85" s="30" cm="1">
        <f t="array" ref="J85">IF($E85="","",IFERROR(_xlfn.IFS($D85="trọn gói",$F85*1%,$D85="tự lắp",$F85*0.8%,$D85="phân phối",$F85*0.2%),""))</f>
        <v>670000</v>
      </c>
      <c r="K85" s="11"/>
    </row>
    <row r="86" spans="1:11" ht="62.5">
      <c r="A86" s="4" t="s">
        <v>62</v>
      </c>
      <c r="B86" s="12" t="s">
        <v>101</v>
      </c>
      <c r="C86" s="4" t="s">
        <v>8</v>
      </c>
      <c r="D86" s="4" t="s">
        <v>480</v>
      </c>
      <c r="E86" s="9" t="s">
        <v>167</v>
      </c>
      <c r="F86" s="7">
        <v>110000000</v>
      </c>
      <c r="G86" s="7">
        <v>110000000</v>
      </c>
      <c r="H86" s="34"/>
      <c r="I86" s="8" t="str">
        <f>IF($E86="","",IFERROR(IF(N($H86)&lt;&gt;0,"Chưa thanh toán đủ","Đã thanh toán đủ"),""))</f>
        <v>Đã thanh toán đủ</v>
      </c>
      <c r="J86" s="30" cm="1">
        <f t="array" ref="J86">IF($E86="","",IFERROR(_xlfn.IFS($D86="trọn gói",$F86*1%,$D86="tự lắp",$F86*0.8%,$D86="phân phối",$F86*0.2%),""))</f>
        <v>1100000</v>
      </c>
      <c r="K86" s="11"/>
    </row>
    <row r="87" spans="1:11" ht="50">
      <c r="A87" s="4" t="s">
        <v>62</v>
      </c>
      <c r="B87" s="12" t="s">
        <v>101</v>
      </c>
      <c r="C87" s="4" t="s">
        <v>8</v>
      </c>
      <c r="D87" s="4" t="s">
        <v>480</v>
      </c>
      <c r="E87" s="9" t="s">
        <v>168</v>
      </c>
      <c r="F87" s="7">
        <v>142000000</v>
      </c>
      <c r="G87" s="7">
        <v>142000000</v>
      </c>
      <c r="H87" s="34"/>
      <c r="I87" s="8" t="str">
        <f>IF($E87="","",IFERROR(IF(N($H87)&lt;&gt;0,"Chưa thanh toán đủ","Đã thanh toán đủ"),""))</f>
        <v>Đã thanh toán đủ</v>
      </c>
      <c r="J87" s="30" cm="1">
        <f t="array" ref="J87">IF($E87="","",IFERROR(_xlfn.IFS($D87="trọn gói",$F87*1%,$D87="tự lắp",$F87*0.8%,$D87="phân phối",$F87*0.2%),""))</f>
        <v>1420000</v>
      </c>
      <c r="K87" s="11"/>
    </row>
    <row r="88" spans="1:11" ht="50">
      <c r="A88" s="4" t="s">
        <v>62</v>
      </c>
      <c r="B88" s="12" t="s">
        <v>101</v>
      </c>
      <c r="C88" s="4" t="s">
        <v>8</v>
      </c>
      <c r="D88" s="4" t="s">
        <v>480</v>
      </c>
      <c r="E88" s="9" t="s">
        <v>169</v>
      </c>
      <c r="F88" s="7">
        <v>125000000</v>
      </c>
      <c r="G88" s="7">
        <v>125000000</v>
      </c>
      <c r="H88" s="34"/>
      <c r="I88" s="8" t="str">
        <f>IF($E88="","",IFERROR(IF(N($H88)&lt;&gt;0,"Chưa thanh toán đủ","Đã thanh toán đủ"),""))</f>
        <v>Đã thanh toán đủ</v>
      </c>
      <c r="J88" s="30" cm="1">
        <f t="array" ref="J88">IF($E88="","",IFERROR(_xlfn.IFS($D88="trọn gói",$F88*1%,$D88="tự lắp",$F88*0.8%,$D88="phân phối",$F88*0.2%),""))</f>
        <v>1250000</v>
      </c>
      <c r="K88" s="11"/>
    </row>
    <row r="89" spans="1:11" ht="50">
      <c r="A89" s="4" t="s">
        <v>62</v>
      </c>
      <c r="B89" s="12" t="s">
        <v>101</v>
      </c>
      <c r="C89" s="4" t="s">
        <v>8</v>
      </c>
      <c r="D89" s="4" t="s">
        <v>480</v>
      </c>
      <c r="E89" s="9" t="s">
        <v>170</v>
      </c>
      <c r="F89" s="7">
        <v>116000000</v>
      </c>
      <c r="G89" s="15">
        <v>116000000</v>
      </c>
      <c r="H89" s="34"/>
      <c r="I89" s="8" t="str">
        <f>IF($E89="","",IFERROR(IF(N($H89)&lt;&gt;0,"Chưa thanh toán đủ","Đã thanh toán đủ"),""))</f>
        <v>Đã thanh toán đủ</v>
      </c>
      <c r="J89" s="30" cm="1">
        <f t="array" ref="J89">IF($E89="","",IFERROR(_xlfn.IFS($D89="trọn gói",$F89*1%,$D89="tự lắp",$F89*0.8%,$D89="phân phối",$F89*0.2%),""))</f>
        <v>1160000</v>
      </c>
      <c r="K89" s="11"/>
    </row>
    <row r="90" spans="1:11" ht="62.5">
      <c r="A90" s="4" t="s">
        <v>62</v>
      </c>
      <c r="B90" s="12" t="s">
        <v>101</v>
      </c>
      <c r="C90" s="4" t="s">
        <v>8</v>
      </c>
      <c r="D90" s="4" t="s">
        <v>480</v>
      </c>
      <c r="E90" s="9" t="s">
        <v>171</v>
      </c>
      <c r="F90" s="7">
        <v>138000000</v>
      </c>
      <c r="G90" s="7">
        <v>138000000</v>
      </c>
      <c r="H90" s="34"/>
      <c r="I90" s="8" t="str">
        <f>IF($E90="","",IFERROR(IF(N($H90)&lt;&gt;0,"Chưa thanh toán đủ","Đã thanh toán đủ"),""))</f>
        <v>Đã thanh toán đủ</v>
      </c>
      <c r="J90" s="30" cm="1">
        <f t="array" ref="J90">IF($E90="","",IFERROR(_xlfn.IFS($D90="trọn gói",$F90*1%,$D90="tự lắp",$F90*0.8%,$D90="phân phối",$F90*0.2%),""))</f>
        <v>1380000</v>
      </c>
      <c r="K90" s="11"/>
    </row>
    <row r="91" spans="1:11" ht="62.5">
      <c r="A91" s="4" t="s">
        <v>62</v>
      </c>
      <c r="B91" s="12" t="s">
        <v>101</v>
      </c>
      <c r="C91" s="4" t="s">
        <v>8</v>
      </c>
      <c r="D91" s="4" t="s">
        <v>480</v>
      </c>
      <c r="E91" s="9" t="s">
        <v>172</v>
      </c>
      <c r="F91" s="7">
        <v>350000000</v>
      </c>
      <c r="G91" s="7">
        <f>10000000+340000000</f>
        <v>350000000</v>
      </c>
      <c r="H91" s="34"/>
      <c r="I91" s="8" t="str">
        <f>IF($E91="","",IFERROR(IF(N($H91)&lt;&gt;0,"Chưa thanh toán đủ","Đã thanh toán đủ"),""))</f>
        <v>Đã thanh toán đủ</v>
      </c>
      <c r="J91" s="30" cm="1">
        <f t="array" ref="J91">IF($E91="","",IFERROR(_xlfn.IFS($D91="trọn gói",$F91*1%,$D91="tự lắp",$F91*0.8%,$D91="phân phối",$F91*0.2%),""))</f>
        <v>3500000</v>
      </c>
      <c r="K91" s="11"/>
    </row>
    <row r="92" spans="1:11" ht="75">
      <c r="A92" s="4" t="s">
        <v>62</v>
      </c>
      <c r="B92" s="12" t="s">
        <v>101</v>
      </c>
      <c r="C92" s="4" t="s">
        <v>8</v>
      </c>
      <c r="D92" s="4" t="s">
        <v>480</v>
      </c>
      <c r="E92" s="9" t="s">
        <v>173</v>
      </c>
      <c r="F92" s="7">
        <v>591000000</v>
      </c>
      <c r="G92" s="7">
        <f>20000000+99900000+250000000+220000000</f>
        <v>589900000</v>
      </c>
      <c r="H92" s="34">
        <f t="shared" ref="H92" si="11">F92-G92</f>
        <v>1100000</v>
      </c>
      <c r="I92" s="8" t="str">
        <f>IF($E92="","",IFERROR(IF(N($H92)&lt;&gt;0,"Chưa thanh toán đủ","Đã thanh toán đủ"),""))</f>
        <v>Chưa thanh toán đủ</v>
      </c>
      <c r="J92" s="30" cm="1">
        <f t="array" ref="J92">IF($E92="","",IFERROR(_xlfn.IFS($D92="trọn gói",$F92*1%,$D92="tự lắp",$F92*0.8%,$D92="phân phối",$F92*0.2%),""))</f>
        <v>5910000</v>
      </c>
      <c r="K92" s="11"/>
    </row>
    <row r="93" spans="1:11" ht="37.5">
      <c r="A93" s="4" t="s">
        <v>62</v>
      </c>
      <c r="B93" s="12" t="s">
        <v>101</v>
      </c>
      <c r="C93" s="4" t="s">
        <v>8</v>
      </c>
      <c r="D93" s="4" t="s">
        <v>479</v>
      </c>
      <c r="E93" s="9" t="s">
        <v>174</v>
      </c>
      <c r="F93" s="7">
        <v>70742000</v>
      </c>
      <c r="G93" s="7">
        <v>70742000</v>
      </c>
      <c r="H93" s="34"/>
      <c r="I93" s="8" t="str">
        <f>IF($E93="","",IFERROR(IF(N($H93)&lt;&gt;0,"Chưa thanh toán đủ","Đã thanh toán đủ"),""))</f>
        <v>Đã thanh toán đủ</v>
      </c>
      <c r="J93" s="30" cm="1">
        <f t="array" ref="J93">IF($E93="","",IFERROR(_xlfn.IFS($D93="trọn gói",$F93*1%,$D93="tự lắp",$F93*0.8%,$D93="phân phối",$F93*0.2%),""))</f>
        <v>565936</v>
      </c>
      <c r="K93" s="11"/>
    </row>
    <row r="94" spans="1:11" ht="37.5">
      <c r="A94" s="4" t="s">
        <v>62</v>
      </c>
      <c r="B94" s="12" t="s">
        <v>101</v>
      </c>
      <c r="C94" s="4" t="s">
        <v>8</v>
      </c>
      <c r="D94" s="4" t="s">
        <v>479</v>
      </c>
      <c r="E94" s="9" t="s">
        <v>175</v>
      </c>
      <c r="F94" s="7">
        <v>75340000</v>
      </c>
      <c r="G94" s="7">
        <v>75340000</v>
      </c>
      <c r="H94" s="34"/>
      <c r="I94" s="8" t="str">
        <f>IF($E94="","",IFERROR(IF(N($H94)&lt;&gt;0,"Chưa thanh toán đủ","Đã thanh toán đủ"),""))</f>
        <v>Đã thanh toán đủ</v>
      </c>
      <c r="J94" s="30" cm="1">
        <f t="array" ref="J94">IF($E94="","",IFERROR(_xlfn.IFS($D94="trọn gói",$F94*1%,$D94="tự lắp",$F94*0.8%,$D94="phân phối",$F94*0.2%),""))</f>
        <v>602720</v>
      </c>
      <c r="K94" s="11"/>
    </row>
    <row r="95" spans="1:11" ht="50">
      <c r="A95" s="4" t="s">
        <v>62</v>
      </c>
      <c r="B95" s="12" t="s">
        <v>101</v>
      </c>
      <c r="C95" s="4" t="s">
        <v>8</v>
      </c>
      <c r="D95" s="4" t="s">
        <v>480</v>
      </c>
      <c r="E95" s="9" t="s">
        <v>176</v>
      </c>
      <c r="F95" s="7">
        <v>63500000</v>
      </c>
      <c r="G95" s="7">
        <f>F95</f>
        <v>63500000</v>
      </c>
      <c r="H95" s="34"/>
      <c r="I95" s="8" t="str">
        <f>IF($E95="","",IFERROR(IF(N($H95)&lt;&gt;0,"Chưa thanh toán đủ","Đã thanh toán đủ"),""))</f>
        <v>Đã thanh toán đủ</v>
      </c>
      <c r="J95" s="30" cm="1">
        <f t="array" ref="J95">IF($E95="","",IFERROR(_xlfn.IFS($D95="trọn gói",$F95*1%,$D95="tự lắp",$F95*0.8%,$D95="phân phối",$F95*0.2%),""))</f>
        <v>635000</v>
      </c>
      <c r="K95" s="11"/>
    </row>
    <row r="96" spans="1:11" ht="62.5">
      <c r="A96" s="4" t="s">
        <v>62</v>
      </c>
      <c r="B96" s="12" t="s">
        <v>101</v>
      </c>
      <c r="C96" s="4" t="s">
        <v>8</v>
      </c>
      <c r="D96" s="4" t="s">
        <v>480</v>
      </c>
      <c r="E96" s="9" t="s">
        <v>177</v>
      </c>
      <c r="F96" s="7">
        <v>105000000</v>
      </c>
      <c r="G96" s="7">
        <f>3000000+90000000+12000000</f>
        <v>105000000</v>
      </c>
      <c r="H96" s="34"/>
      <c r="I96" s="8" t="str">
        <f>IF($E96="","",IFERROR(IF(N($H96)&lt;&gt;0,"Chưa thanh toán đủ","Đã thanh toán đủ"),""))</f>
        <v>Đã thanh toán đủ</v>
      </c>
      <c r="J96" s="30" cm="1">
        <f t="array" ref="J96">IF($E96="","",IFERROR(_xlfn.IFS($D96="trọn gói",$F96*1%,$D96="tự lắp",$F96*0.8%,$D96="phân phối",$F96*0.2%),""))</f>
        <v>1050000</v>
      </c>
      <c r="K96" s="11"/>
    </row>
    <row r="97" spans="1:11" ht="62.5">
      <c r="A97" s="4" t="s">
        <v>62</v>
      </c>
      <c r="B97" s="12" t="s">
        <v>101</v>
      </c>
      <c r="C97" s="4" t="s">
        <v>8</v>
      </c>
      <c r="D97" s="4" t="s">
        <v>480</v>
      </c>
      <c r="E97" s="9" t="s">
        <v>178</v>
      </c>
      <c r="F97" s="7">
        <v>130000000</v>
      </c>
      <c r="G97" s="7">
        <f>5000000+110000000+15000000</f>
        <v>130000000</v>
      </c>
      <c r="H97" s="34"/>
      <c r="I97" s="8" t="str">
        <f>IF($E97="","",IFERROR(IF(N($H97)&lt;&gt;0,"Chưa thanh toán đủ","Đã thanh toán đủ"),""))</f>
        <v>Đã thanh toán đủ</v>
      </c>
      <c r="J97" s="30" cm="1">
        <f t="array" ref="J97">IF($E97="","",IFERROR(_xlfn.IFS($D97="trọn gói",$F97*1%,$D97="tự lắp",$F97*0.8%,$D97="phân phối",$F97*0.2%),""))</f>
        <v>1300000</v>
      </c>
      <c r="K97" s="11"/>
    </row>
    <row r="98" spans="1:11" ht="42">
      <c r="A98" s="4" t="s">
        <v>62</v>
      </c>
      <c r="B98" s="12" t="s">
        <v>101</v>
      </c>
      <c r="C98" s="4" t="s">
        <v>8</v>
      </c>
      <c r="D98" s="4" t="s">
        <v>480</v>
      </c>
      <c r="E98" s="16" t="s">
        <v>179</v>
      </c>
      <c r="F98" s="15">
        <v>130000000</v>
      </c>
      <c r="G98" s="15">
        <v>5000000</v>
      </c>
      <c r="H98" s="34">
        <f t="shared" ref="H98" si="12">F98-G98</f>
        <v>125000000</v>
      </c>
      <c r="I98" s="8" t="str">
        <f>IF($E98="","",IFERROR(IF(N($H98)&lt;&gt;0,"Chưa thanh toán đủ","Đã thanh toán đủ"),""))</f>
        <v>Chưa thanh toán đủ</v>
      </c>
      <c r="J98" s="32" cm="1">
        <f t="array" ref="J98">IF($E98="","",IFERROR(_xlfn.IFS($D98="trọn gói",$F98*1%,$D98="tự lắp",$F98*0.8%,$D98="phân phối",$F98*0.2%),""))</f>
        <v>1300000</v>
      </c>
      <c r="K98" s="17" t="s">
        <v>180</v>
      </c>
    </row>
    <row r="99" spans="1:11" ht="70">
      <c r="A99" s="18" t="s">
        <v>62</v>
      </c>
      <c r="B99" s="12" t="s">
        <v>101</v>
      </c>
      <c r="C99" s="4" t="s">
        <v>8</v>
      </c>
      <c r="D99" s="18" t="s">
        <v>480</v>
      </c>
      <c r="E99" s="16" t="s">
        <v>181</v>
      </c>
      <c r="F99" s="15">
        <v>106000000</v>
      </c>
      <c r="G99" s="15">
        <v>106000000</v>
      </c>
      <c r="H99" s="34"/>
      <c r="I99" s="8" t="str">
        <f>IF($E99="","",IFERROR(IF(N($H99)&lt;&gt;0,"Chưa thanh toán đủ","Đã thanh toán đủ"),""))</f>
        <v>Đã thanh toán đủ</v>
      </c>
      <c r="J99" s="30" cm="1">
        <f t="array" ref="J99">IF($E99="","",IFERROR(_xlfn.IFS($D99="trọn gói",$F99*1%,$D99="tự lắp",$F99*0.8%,$D99="phân phối",$F99*0.2%),""))</f>
        <v>1060000</v>
      </c>
      <c r="K99" s="11"/>
    </row>
    <row r="100" spans="1:11" ht="38">
      <c r="A100" s="4" t="s">
        <v>42</v>
      </c>
      <c r="B100" s="12" t="s">
        <v>101</v>
      </c>
      <c r="C100" s="4" t="s">
        <v>23</v>
      </c>
      <c r="D100" s="4" t="s">
        <v>480</v>
      </c>
      <c r="E100" s="9" t="s">
        <v>182</v>
      </c>
      <c r="F100" s="7">
        <v>68917300</v>
      </c>
      <c r="G100" s="7">
        <v>5000000</v>
      </c>
      <c r="H100" s="34">
        <f t="shared" ref="H100:H104" si="13">F100-G100</f>
        <v>63917300</v>
      </c>
      <c r="I100" s="8" t="str">
        <f>IF($E100="","",IFERROR(IF(N($H100)&lt;&gt;0,"Chưa thanh toán đủ","Đã thanh toán đủ"),""))</f>
        <v>Chưa thanh toán đủ</v>
      </c>
      <c r="J100" s="30" cm="1">
        <f t="array" ref="J100">IF($E100="","",IFERROR(_xlfn.IFS($D100="trọn gói",$F100*1%,$D100="tự lắp",$F100*0.8%,$D100="phân phối",$F100*0.2%),""))</f>
        <v>689173</v>
      </c>
      <c r="K100" s="11"/>
    </row>
    <row r="101" spans="1:11" ht="75">
      <c r="A101" s="4" t="s">
        <v>71</v>
      </c>
      <c r="B101" s="12" t="s">
        <v>101</v>
      </c>
      <c r="C101" s="4" t="s">
        <v>478</v>
      </c>
      <c r="D101" s="4" t="s">
        <v>148</v>
      </c>
      <c r="E101" s="9" t="s">
        <v>183</v>
      </c>
      <c r="F101" s="10">
        <v>36608600</v>
      </c>
      <c r="G101" s="10">
        <v>10982600</v>
      </c>
      <c r="H101" s="34">
        <f t="shared" si="13"/>
        <v>25626000</v>
      </c>
      <c r="I101" s="8" t="str">
        <f>IF($E101="","",IFERROR(IF(N($H101)&lt;&gt;0,"Chưa thanh toán đủ","Đã thanh toán đủ"),""))</f>
        <v>Chưa thanh toán đủ</v>
      </c>
      <c r="J101" s="30" cm="1">
        <f t="array" ref="J101">IF($E101="","",IFERROR(_xlfn.IFS($D101="trọn gói",$F101*1%,$D101="tự lắp",$F101*0.8%,$D101="phân phối",$F101*0.2%),""))</f>
        <v>73217.2</v>
      </c>
      <c r="K101" s="11" t="s">
        <v>184</v>
      </c>
    </row>
    <row r="102" spans="1:11" ht="50">
      <c r="A102" s="4" t="s">
        <v>71</v>
      </c>
      <c r="B102" s="12" t="s">
        <v>101</v>
      </c>
      <c r="C102" s="4" t="s">
        <v>23</v>
      </c>
      <c r="D102" s="4" t="s">
        <v>480</v>
      </c>
      <c r="E102" s="9" t="s">
        <v>185</v>
      </c>
      <c r="F102" s="10">
        <v>81000000</v>
      </c>
      <c r="G102" s="10">
        <v>5000000</v>
      </c>
      <c r="H102" s="34">
        <f t="shared" si="13"/>
        <v>76000000</v>
      </c>
      <c r="I102" s="8" t="str">
        <f>IF($E102="","",IFERROR(IF(N($H102)&lt;&gt;0,"Chưa thanh toán đủ","Đã thanh toán đủ"),""))</f>
        <v>Chưa thanh toán đủ</v>
      </c>
      <c r="J102" s="30" cm="1">
        <f t="array" ref="J102">IF($E102="","",IFERROR(_xlfn.IFS($D102="trọn gói",$F102*1%,$D102="tự lắp",$F102*0.8%,$D102="phân phối",$F102*0.2%),""))</f>
        <v>810000</v>
      </c>
      <c r="K102" s="11"/>
    </row>
    <row r="103" spans="1:11" ht="25">
      <c r="A103" s="4" t="s">
        <v>71</v>
      </c>
      <c r="B103" s="12" t="s">
        <v>101</v>
      </c>
      <c r="C103" s="4" t="s">
        <v>8</v>
      </c>
      <c r="D103" s="4" t="s">
        <v>480</v>
      </c>
      <c r="E103" s="9" t="s">
        <v>186</v>
      </c>
      <c r="F103" s="10">
        <v>675275503</v>
      </c>
      <c r="G103" s="10">
        <v>67525550</v>
      </c>
      <c r="H103" s="34">
        <f t="shared" si="13"/>
        <v>607749953</v>
      </c>
      <c r="I103" s="8" t="str">
        <f>IF($E103="","",IFERROR(IF(N($H103)&lt;&gt;0,"Chưa thanh toán đủ","Đã thanh toán đủ"),""))</f>
        <v>Chưa thanh toán đủ</v>
      </c>
      <c r="J103" s="30" cm="1">
        <f t="array" ref="J103">IF($E103="","",IFERROR(_xlfn.IFS($D103="trọn gói",$F103*1%,$D103="tự lắp",$F103*0.8%,$D103="phân phối",$F103*0.2%),""))</f>
        <v>6752755.0300000003</v>
      </c>
      <c r="K103" s="11"/>
    </row>
    <row r="104" spans="1:11" ht="50">
      <c r="A104" s="4" t="s">
        <v>71</v>
      </c>
      <c r="B104" s="12" t="s">
        <v>101</v>
      </c>
      <c r="C104" s="4" t="s">
        <v>8</v>
      </c>
      <c r="D104" s="4" t="s">
        <v>480</v>
      </c>
      <c r="E104" s="9" t="s">
        <v>187</v>
      </c>
      <c r="F104" s="10">
        <v>96632200</v>
      </c>
      <c r="G104" s="10">
        <v>5000000</v>
      </c>
      <c r="H104" s="34">
        <f t="shared" si="13"/>
        <v>91632200</v>
      </c>
      <c r="I104" s="8" t="str">
        <f>IF($E104="","",IFERROR(IF(N($H104)&lt;&gt;0,"Chưa thanh toán đủ","Đã thanh toán đủ"),""))</f>
        <v>Chưa thanh toán đủ</v>
      </c>
      <c r="J104" s="30" cm="1">
        <f t="array" ref="J104">IF($E104="","",IFERROR(_xlfn.IFS($D104="trọn gói",$F104*1%,$D104="tự lắp",$F104*0.8%,$D104="phân phối",$F104*0.2%),""))</f>
        <v>966322</v>
      </c>
      <c r="K104" s="11"/>
    </row>
    <row r="105" spans="1:11" ht="50">
      <c r="A105" s="4" t="s">
        <v>62</v>
      </c>
      <c r="B105" s="12" t="s">
        <v>188</v>
      </c>
      <c r="C105" s="4" t="s">
        <v>8</v>
      </c>
      <c r="D105" s="19" t="s">
        <v>480</v>
      </c>
      <c r="E105" s="9" t="s">
        <v>189</v>
      </c>
      <c r="F105" s="7">
        <v>102000000</v>
      </c>
      <c r="G105" s="7">
        <f>5000000+97000000</f>
        <v>102000000</v>
      </c>
      <c r="H105" s="34"/>
      <c r="I105" s="8" t="str">
        <f>IF($E105="","",IFERROR(IF(N($H105)&lt;&gt;0,"Chưa thanh toán đủ","Đã thanh toán đủ"),""))</f>
        <v>Đã thanh toán đủ</v>
      </c>
      <c r="J105" s="30" cm="1">
        <f t="array" ref="J105">IF($E105="","",IFERROR(_xlfn.IFS($D105="trọn gói",$F105*1%,$D105="tự lắp",$F105*0.8%,$D105="phân phối",$F105*0.2%),""))</f>
        <v>1020000</v>
      </c>
      <c r="K105" s="11"/>
    </row>
    <row r="106" spans="1:11" ht="84">
      <c r="A106" s="4" t="s">
        <v>62</v>
      </c>
      <c r="B106" s="12" t="s">
        <v>188</v>
      </c>
      <c r="C106" s="4" t="s">
        <v>8</v>
      </c>
      <c r="D106" s="19" t="s">
        <v>480</v>
      </c>
      <c r="E106" s="16" t="s">
        <v>190</v>
      </c>
      <c r="F106" s="7">
        <v>113000000</v>
      </c>
      <c r="G106" s="7">
        <f>5000000+99000000+9000000</f>
        <v>113000000</v>
      </c>
      <c r="H106" s="34"/>
      <c r="I106" s="8" t="str">
        <f>IF($E106="","",IFERROR(IF(N($H106)&lt;&gt;0,"Chưa thanh toán đủ","Đã thanh toán đủ"),""))</f>
        <v>Đã thanh toán đủ</v>
      </c>
      <c r="J106" s="30" cm="1">
        <f t="array" ref="J106">IF($E106="","",IFERROR(_xlfn.IFS($D106="trọn gói",$F106*1%,$D106="tự lắp",$F106*0.8%,$D106="phân phối",$F106*0.2%),""))</f>
        <v>1130000</v>
      </c>
      <c r="K106" s="11"/>
    </row>
    <row r="107" spans="1:11" ht="98">
      <c r="A107" s="4" t="s">
        <v>62</v>
      </c>
      <c r="B107" s="12" t="s">
        <v>188</v>
      </c>
      <c r="C107" s="4" t="s">
        <v>8</v>
      </c>
      <c r="D107" s="19" t="s">
        <v>480</v>
      </c>
      <c r="E107" s="16" t="s">
        <v>191</v>
      </c>
      <c r="F107" s="15">
        <v>113000000</v>
      </c>
      <c r="G107" s="7">
        <f>5000000+75000000+10000000+23000000</f>
        <v>113000000</v>
      </c>
      <c r="H107" s="34"/>
      <c r="I107" s="8" t="str">
        <f>IF($E107="","",IFERROR(IF(N($H107)&lt;&gt;0,"Chưa thanh toán đủ","Đã thanh toán đủ"),""))</f>
        <v>Đã thanh toán đủ</v>
      </c>
      <c r="J107" s="30" cm="1">
        <f t="array" ref="J107">IF($E107="","",IFERROR(_xlfn.IFS($D107="trọn gói",$F107*1%,$D107="tự lắp",$F107*0.8%,$D107="phân phối",$F107*0.2%),""))</f>
        <v>1130000</v>
      </c>
      <c r="K107" s="11"/>
    </row>
    <row r="108" spans="1:11" ht="62.5">
      <c r="A108" s="4" t="s">
        <v>62</v>
      </c>
      <c r="B108" s="12" t="s">
        <v>188</v>
      </c>
      <c r="C108" s="4" t="s">
        <v>8</v>
      </c>
      <c r="D108" s="19" t="s">
        <v>480</v>
      </c>
      <c r="E108" s="9" t="s">
        <v>192</v>
      </c>
      <c r="F108" s="7">
        <v>690000000</v>
      </c>
      <c r="G108" s="7">
        <f>50000000+500000000+100000000+40000000</f>
        <v>690000000</v>
      </c>
      <c r="H108" s="34"/>
      <c r="I108" s="8" t="str">
        <f>IF($E108="","",IFERROR(IF(N($H108)&lt;&gt;0,"Chưa thanh toán đủ","Đã thanh toán đủ"),""))</f>
        <v>Đã thanh toán đủ</v>
      </c>
      <c r="J108" s="30" cm="1">
        <f t="array" ref="J108">IF($E108="","",IFERROR(_xlfn.IFS($D108="trọn gói",$F108*1%,$D108="tự lắp",$F108*0.8%,$D108="phân phối",$F108*0.2%),""))</f>
        <v>6900000</v>
      </c>
      <c r="K108" s="11"/>
    </row>
    <row r="109" spans="1:11" ht="62.5">
      <c r="A109" s="4" t="s">
        <v>62</v>
      </c>
      <c r="B109" s="12" t="s">
        <v>188</v>
      </c>
      <c r="C109" s="4" t="s">
        <v>8</v>
      </c>
      <c r="D109" s="19" t="s">
        <v>480</v>
      </c>
      <c r="E109" s="9" t="s">
        <v>193</v>
      </c>
      <c r="F109" s="7">
        <v>174000000</v>
      </c>
      <c r="G109" s="7">
        <f>5000000+169000000</f>
        <v>174000000</v>
      </c>
      <c r="H109" s="34"/>
      <c r="I109" s="8" t="str">
        <f>IF($E109="","",IFERROR(IF(N($H109)&lt;&gt;0,"Chưa thanh toán đủ","Đã thanh toán đủ"),""))</f>
        <v>Đã thanh toán đủ</v>
      </c>
      <c r="J109" s="30" cm="1">
        <f t="array" ref="J109">IF($E109="","",IFERROR(_xlfn.IFS($D109="trọn gói",$F109*1%,$D109="tự lắp",$F109*0.8%,$D109="phân phối",$F109*0.2%),""))</f>
        <v>1740000</v>
      </c>
      <c r="K109" s="11"/>
    </row>
    <row r="110" spans="1:11" ht="50">
      <c r="A110" s="4" t="s">
        <v>62</v>
      </c>
      <c r="B110" s="12" t="s">
        <v>188</v>
      </c>
      <c r="C110" s="4" t="s">
        <v>8</v>
      </c>
      <c r="D110" s="19" t="s">
        <v>480</v>
      </c>
      <c r="E110" s="9" t="s">
        <v>194</v>
      </c>
      <c r="F110" s="7">
        <v>205000000</v>
      </c>
      <c r="G110" s="7">
        <f>10000000+195000000</f>
        <v>205000000</v>
      </c>
      <c r="H110" s="34"/>
      <c r="I110" s="8" t="str">
        <f>IF($E110="","",IFERROR(IF(N($H110)&lt;&gt;0,"Chưa thanh toán đủ","Đã thanh toán đủ"),""))</f>
        <v>Đã thanh toán đủ</v>
      </c>
      <c r="J110" s="30" cm="1">
        <f t="array" ref="J110">IF($E110="","",IFERROR(_xlfn.IFS($D110="trọn gói",$F110*1%,$D110="tự lắp",$F110*0.8%,$D110="phân phối",$F110*0.2%),""))</f>
        <v>2050000</v>
      </c>
      <c r="K110" s="11"/>
    </row>
    <row r="111" spans="1:11" ht="25">
      <c r="A111" s="4" t="s">
        <v>62</v>
      </c>
      <c r="B111" s="12" t="s">
        <v>188</v>
      </c>
      <c r="C111" s="4" t="s">
        <v>8</v>
      </c>
      <c r="D111" s="19" t="s">
        <v>479</v>
      </c>
      <c r="E111" s="9" t="s">
        <v>195</v>
      </c>
      <c r="F111" s="7">
        <v>16245000</v>
      </c>
      <c r="G111" s="7">
        <v>16245000</v>
      </c>
      <c r="H111" s="34"/>
      <c r="I111" s="8" t="str">
        <f>IF($E111="","",IFERROR(IF(N($H111)&lt;&gt;0,"Chưa thanh toán đủ","Đã thanh toán đủ"),""))</f>
        <v>Đã thanh toán đủ</v>
      </c>
      <c r="J111" s="30" cm="1">
        <f t="array" ref="J111">IF($E111="","",IFERROR(_xlfn.IFS($D111="trọn gói",$F111*1%,$D111="tự lắp",$F111*0.8%,$D111="phân phối",$F111*0.2%),""))</f>
        <v>129960</v>
      </c>
      <c r="K111" s="11"/>
    </row>
    <row r="112" spans="1:11" ht="37.5">
      <c r="A112" s="4" t="s">
        <v>62</v>
      </c>
      <c r="B112" s="12" t="s">
        <v>188</v>
      </c>
      <c r="C112" s="4" t="s">
        <v>8</v>
      </c>
      <c r="D112" s="19" t="s">
        <v>479</v>
      </c>
      <c r="E112" s="9" t="s">
        <v>196</v>
      </c>
      <c r="F112" s="7">
        <v>5500000</v>
      </c>
      <c r="G112" s="7">
        <v>5500000</v>
      </c>
      <c r="H112" s="34"/>
      <c r="I112" s="8" t="str">
        <f>IF($E112="","",IFERROR(IF(N($H112)&lt;&gt;0,"Chưa thanh toán đủ","Đã thanh toán đủ"),""))</f>
        <v>Đã thanh toán đủ</v>
      </c>
      <c r="J112" s="30" cm="1">
        <f t="array" ref="J112">IF($E112="","",IFERROR(_xlfn.IFS($D112="trọn gói",$F112*1%,$D112="tự lắp",$F112*0.8%,$D112="phân phối",$F112*0.2%),""))</f>
        <v>44000</v>
      </c>
      <c r="K112" s="11"/>
    </row>
    <row r="113" spans="1:11" ht="50">
      <c r="A113" s="4" t="s">
        <v>62</v>
      </c>
      <c r="B113" s="12" t="s">
        <v>188</v>
      </c>
      <c r="C113" s="4" t="s">
        <v>8</v>
      </c>
      <c r="D113" s="19" t="s">
        <v>479</v>
      </c>
      <c r="E113" s="9" t="s">
        <v>197</v>
      </c>
      <c r="F113" s="7">
        <v>35875000</v>
      </c>
      <c r="G113" s="7">
        <f t="shared" ref="G113:G114" si="14">F113</f>
        <v>35875000</v>
      </c>
      <c r="H113" s="34"/>
      <c r="I113" s="8" t="str">
        <f>IF($E113="","",IFERROR(IF(N($H113)&lt;&gt;0,"Chưa thanh toán đủ","Đã thanh toán đủ"),""))</f>
        <v>Đã thanh toán đủ</v>
      </c>
      <c r="J113" s="30" cm="1">
        <f t="array" ref="J113">IF($E113="","",IFERROR(_xlfn.IFS($D113="trọn gói",$F113*1%,$D113="tự lắp",$F113*0.8%,$D113="phân phối",$F113*0.2%),""))</f>
        <v>287000</v>
      </c>
      <c r="K113" s="11"/>
    </row>
    <row r="114" spans="1:11" ht="50">
      <c r="A114" s="4" t="s">
        <v>62</v>
      </c>
      <c r="B114" s="12" t="s">
        <v>188</v>
      </c>
      <c r="C114" s="4" t="s">
        <v>8</v>
      </c>
      <c r="D114" s="4" t="s">
        <v>479</v>
      </c>
      <c r="E114" s="9" t="s">
        <v>198</v>
      </c>
      <c r="F114" s="7">
        <v>62834000</v>
      </c>
      <c r="G114" s="7">
        <f t="shared" si="14"/>
        <v>62834000</v>
      </c>
      <c r="H114" s="34"/>
      <c r="I114" s="8" t="str">
        <f>IF($E114="","",IFERROR(IF(N($H114)&lt;&gt;0,"Chưa thanh toán đủ","Đã thanh toán đủ"),""))</f>
        <v>Đã thanh toán đủ</v>
      </c>
      <c r="J114" s="30" cm="1">
        <f t="array" ref="J114">IF($E114="","",IFERROR(_xlfn.IFS($D114="trọn gói",$F114*1%,$D114="tự lắp",$F114*0.8%,$D114="phân phối",$F114*0.2%),""))</f>
        <v>502672</v>
      </c>
      <c r="K114" s="11"/>
    </row>
    <row r="115" spans="1:11" ht="62.5">
      <c r="A115" s="4" t="s">
        <v>62</v>
      </c>
      <c r="B115" s="12" t="s">
        <v>188</v>
      </c>
      <c r="C115" s="4" t="s">
        <v>8</v>
      </c>
      <c r="D115" s="4" t="s">
        <v>479</v>
      </c>
      <c r="E115" s="9" t="s">
        <v>199</v>
      </c>
      <c r="F115" s="7">
        <v>81900000</v>
      </c>
      <c r="G115" s="7">
        <f>5000000+35000000+41900000</f>
        <v>81900000</v>
      </c>
      <c r="H115" s="34"/>
      <c r="I115" s="8" t="str">
        <f>IF($E115="","",IFERROR(IF(N($H115)&lt;&gt;0,"Chưa thanh toán đủ","Đã thanh toán đủ"),""))</f>
        <v>Đã thanh toán đủ</v>
      </c>
      <c r="J115" s="30" cm="1">
        <f t="array" ref="J115">IF($E115="","",IFERROR(_xlfn.IFS($D115="trọn gói",$F115*1%,$D115="tự lắp",$F115*0.8%,$D115="phân phối",$F115*0.2%),""))</f>
        <v>655200</v>
      </c>
      <c r="K115" s="11" t="s">
        <v>200</v>
      </c>
    </row>
    <row r="116" spans="1:11" ht="75">
      <c r="A116" s="4" t="s">
        <v>62</v>
      </c>
      <c r="B116" s="12" t="s">
        <v>188</v>
      </c>
      <c r="C116" s="4" t="s">
        <v>8</v>
      </c>
      <c r="D116" s="4" t="s">
        <v>479</v>
      </c>
      <c r="E116" s="9" t="s">
        <v>201</v>
      </c>
      <c r="F116" s="7">
        <v>34126000</v>
      </c>
      <c r="G116" s="7">
        <v>34126000</v>
      </c>
      <c r="H116" s="34"/>
      <c r="I116" s="8" t="str">
        <f>IF($E116="","",IFERROR(IF(N($H116)&lt;&gt;0,"Chưa thanh toán đủ","Đã thanh toán đủ"),""))</f>
        <v>Đã thanh toán đủ</v>
      </c>
      <c r="J116" s="30" cm="1">
        <f t="array" ref="J116">IF($E116="","",IFERROR(_xlfn.IFS($D116="trọn gói",$F116*1%,$D116="tự lắp",$F116*0.8%,$D116="phân phối",$F116*0.2%),""))</f>
        <v>273008</v>
      </c>
      <c r="K116" s="11"/>
    </row>
    <row r="117" spans="1:11" ht="56">
      <c r="A117" s="4" t="s">
        <v>62</v>
      </c>
      <c r="B117" s="12" t="s">
        <v>188</v>
      </c>
      <c r="C117" s="4" t="s">
        <v>8</v>
      </c>
      <c r="D117" s="4" t="s">
        <v>480</v>
      </c>
      <c r="E117" s="16" t="s">
        <v>202</v>
      </c>
      <c r="F117" s="15">
        <v>120000000</v>
      </c>
      <c r="G117" s="15">
        <v>5000000</v>
      </c>
      <c r="H117" s="34">
        <f t="shared" ref="H117" si="15">F117-G117</f>
        <v>115000000</v>
      </c>
      <c r="I117" s="8" t="str">
        <f>IF($E117="","",IFERROR(IF(N($H117)&lt;&gt;0,"Chưa thanh toán đủ","Đã thanh toán đủ"),""))</f>
        <v>Chưa thanh toán đủ</v>
      </c>
      <c r="J117" s="30" cm="1">
        <f t="array" ref="J117">IF($E117="","",IFERROR(_xlfn.IFS($D117="trọn gói",$F117*1%,$D117="tự lắp",$F117*0.8%,$D117="phân phối",$F117*0.2%),""))</f>
        <v>1200000</v>
      </c>
      <c r="K117" s="11"/>
    </row>
    <row r="118" spans="1:11" ht="126">
      <c r="A118" s="4" t="s">
        <v>62</v>
      </c>
      <c r="B118" s="12" t="s">
        <v>188</v>
      </c>
      <c r="C118" s="4" t="s">
        <v>8</v>
      </c>
      <c r="D118" s="4" t="s">
        <v>480</v>
      </c>
      <c r="E118" s="16" t="s">
        <v>203</v>
      </c>
      <c r="F118" s="15">
        <v>126412000</v>
      </c>
      <c r="G118" s="15">
        <f>5000000+21412000+100000000</f>
        <v>126412000</v>
      </c>
      <c r="H118" s="34"/>
      <c r="I118" s="8" t="str">
        <f>IF($E118="","",IFERROR(IF(N($H118)&lt;&gt;0,"Chưa thanh toán đủ","Đã thanh toán đủ"),""))</f>
        <v>Đã thanh toán đủ</v>
      </c>
      <c r="J118" s="30" cm="1">
        <f t="array" ref="J118">IF($E118="","",IFERROR(_xlfn.IFS($D118="trọn gói",$F118*1%,$D118="tự lắp",$F118*0.8%,$D118="phân phối",$F118*0.2%),""))</f>
        <v>1264120</v>
      </c>
      <c r="K118" s="11"/>
    </row>
    <row r="119" spans="1:11" ht="50">
      <c r="A119" s="4" t="s">
        <v>62</v>
      </c>
      <c r="B119" s="12" t="s">
        <v>188</v>
      </c>
      <c r="C119" s="4" t="s">
        <v>8</v>
      </c>
      <c r="D119" s="4" t="s">
        <v>479</v>
      </c>
      <c r="E119" s="9" t="s">
        <v>204</v>
      </c>
      <c r="F119" s="7">
        <v>7631250</v>
      </c>
      <c r="G119" s="7">
        <v>7631250</v>
      </c>
      <c r="H119" s="34"/>
      <c r="I119" s="8" t="str">
        <f>IF($E119="","",IFERROR(IF(N($H119)&lt;&gt;0,"Chưa thanh toán đủ","Đã thanh toán đủ"),""))</f>
        <v>Đã thanh toán đủ</v>
      </c>
      <c r="J119" s="30" cm="1">
        <f t="array" ref="J119">IF($E119="","",IFERROR(_xlfn.IFS($D119="trọn gói",$F119*1%,$D119="tự lắp",$F119*0.8%,$D119="phân phối",$F119*0.2%),""))</f>
        <v>61050</v>
      </c>
      <c r="K119" s="11"/>
    </row>
    <row r="120" spans="1:11" ht="50">
      <c r="A120" s="4" t="s">
        <v>62</v>
      </c>
      <c r="B120" s="12" t="s">
        <v>188</v>
      </c>
      <c r="C120" s="4" t="s">
        <v>8</v>
      </c>
      <c r="D120" s="4" t="s">
        <v>479</v>
      </c>
      <c r="E120" s="9" t="s">
        <v>205</v>
      </c>
      <c r="F120" s="7">
        <f>45261300+640000</f>
        <v>45901300</v>
      </c>
      <c r="G120" s="7">
        <f t="shared" ref="G120:G123" si="16">F120</f>
        <v>45901300</v>
      </c>
      <c r="H120" s="34"/>
      <c r="I120" s="8" t="str">
        <f>IF($E120="","",IFERROR(IF(N($H120)&lt;&gt;0,"Chưa thanh toán đủ","Đã thanh toán đủ"),""))</f>
        <v>Đã thanh toán đủ</v>
      </c>
      <c r="J120" s="30" cm="1">
        <f t="array" ref="J120">IF($E120="","",IFERROR(_xlfn.IFS($D120="trọn gói",$F120*1%,$D120="tự lắp",$F120*0.8%,$D120="phân phối",$F120*0.2%),""))</f>
        <v>367210.4</v>
      </c>
      <c r="K120" s="11"/>
    </row>
    <row r="121" spans="1:11" ht="75">
      <c r="A121" s="4" t="s">
        <v>62</v>
      </c>
      <c r="B121" s="12" t="s">
        <v>188</v>
      </c>
      <c r="C121" s="4" t="s">
        <v>8</v>
      </c>
      <c r="D121" s="4" t="s">
        <v>479</v>
      </c>
      <c r="E121" s="9" t="s">
        <v>206</v>
      </c>
      <c r="F121" s="7">
        <v>86028000</v>
      </c>
      <c r="G121" s="7">
        <f t="shared" si="16"/>
        <v>86028000</v>
      </c>
      <c r="H121" s="34"/>
      <c r="I121" s="8" t="str">
        <f>IF($E121="","",IFERROR(IF(N($H121)&lt;&gt;0,"Chưa thanh toán đủ","Đã thanh toán đủ"),""))</f>
        <v>Đã thanh toán đủ</v>
      </c>
      <c r="J121" s="30" cm="1">
        <f t="array" ref="J121">IF($E121="","",IFERROR(_xlfn.IFS($D121="trọn gói",$F121*1%,$D121="tự lắp",$F121*0.8%,$D121="phân phối",$F121*0.2%),""))</f>
        <v>688224</v>
      </c>
      <c r="K121" s="11"/>
    </row>
    <row r="122" spans="1:11" ht="62.5">
      <c r="A122" s="4" t="s">
        <v>62</v>
      </c>
      <c r="B122" s="12" t="s">
        <v>188</v>
      </c>
      <c r="C122" s="4" t="s">
        <v>8</v>
      </c>
      <c r="D122" s="4" t="s">
        <v>479</v>
      </c>
      <c r="E122" s="9" t="s">
        <v>207</v>
      </c>
      <c r="F122" s="7">
        <v>73940000</v>
      </c>
      <c r="G122" s="7">
        <f t="shared" si="16"/>
        <v>73940000</v>
      </c>
      <c r="H122" s="34"/>
      <c r="I122" s="8" t="str">
        <f>IF($E122="","",IFERROR(IF(N($H122)&lt;&gt;0,"Chưa thanh toán đủ","Đã thanh toán đủ"),""))</f>
        <v>Đã thanh toán đủ</v>
      </c>
      <c r="J122" s="30" cm="1">
        <f t="array" ref="J122">IF($E122="","",IFERROR(_xlfn.IFS($D122="trọn gói",$F122*1%,$D122="tự lắp",$F122*0.8%,$D122="phân phối",$F122*0.2%),""))</f>
        <v>591520</v>
      </c>
      <c r="K122" s="11"/>
    </row>
    <row r="123" spans="1:11" ht="98">
      <c r="A123" s="4" t="s">
        <v>62</v>
      </c>
      <c r="B123" s="12" t="s">
        <v>188</v>
      </c>
      <c r="C123" s="4" t="s">
        <v>8</v>
      </c>
      <c r="D123" s="4" t="s">
        <v>480</v>
      </c>
      <c r="E123" s="16" t="s">
        <v>208</v>
      </c>
      <c r="F123" s="15">
        <v>121370000</v>
      </c>
      <c r="G123" s="7">
        <f t="shared" si="16"/>
        <v>121370000</v>
      </c>
      <c r="H123" s="34"/>
      <c r="I123" s="8" t="str">
        <f>IF($E123="","",IFERROR(IF(N($H123)&lt;&gt;0,"Chưa thanh toán đủ","Đã thanh toán đủ"),""))</f>
        <v>Đã thanh toán đủ</v>
      </c>
      <c r="J123" s="30" cm="1">
        <f t="array" ref="J123">IF($E123="","",IFERROR(_xlfn.IFS($D123="trọn gói",$F123*1%,$D123="tự lắp",$F123*0.8%,$D123="phân phối",$F123*0.2%),""))</f>
        <v>1213700</v>
      </c>
      <c r="K123" s="11"/>
    </row>
    <row r="124" spans="1:11" ht="56">
      <c r="A124" s="18" t="s">
        <v>62</v>
      </c>
      <c r="B124" s="12" t="s">
        <v>188</v>
      </c>
      <c r="C124" s="4" t="s">
        <v>8</v>
      </c>
      <c r="D124" s="18" t="s">
        <v>480</v>
      </c>
      <c r="E124" s="16" t="s">
        <v>209</v>
      </c>
      <c r="F124" s="15">
        <v>85000000</v>
      </c>
      <c r="G124" s="7">
        <v>85000000</v>
      </c>
      <c r="H124" s="36"/>
      <c r="I124" s="8" t="str">
        <f>IF($E124="","",IFERROR(IF(N($H124)&lt;&gt;0,"Chưa thanh toán đủ","Đã thanh toán đủ"),""))</f>
        <v>Đã thanh toán đủ</v>
      </c>
      <c r="J124" s="30" cm="1">
        <f t="array" ref="J124">IF($E124="","",IFERROR(_xlfn.IFS($D124="trọn gói",$F124*1%,$D124="tự lắp",$F124*0.8%,$D124="phân phối",$F124*0.2%),""))</f>
        <v>850000</v>
      </c>
      <c r="K124" s="11"/>
    </row>
    <row r="125" spans="1:11" ht="84">
      <c r="A125" s="4" t="s">
        <v>62</v>
      </c>
      <c r="B125" s="12" t="s">
        <v>188</v>
      </c>
      <c r="C125" s="4" t="s">
        <v>8</v>
      </c>
      <c r="D125" s="4" t="s">
        <v>480</v>
      </c>
      <c r="E125" s="16" t="s">
        <v>210</v>
      </c>
      <c r="F125" s="15">
        <v>246000000</v>
      </c>
      <c r="G125" s="7">
        <f>5000000+45000000+150000000</f>
        <v>200000000</v>
      </c>
      <c r="H125" s="36">
        <f t="shared" ref="H125" si="17">F125-G125</f>
        <v>46000000</v>
      </c>
      <c r="I125" s="8" t="str">
        <f>IF($E125="","",IFERROR(IF(N($H125)&lt;&gt;0,"Chưa thanh toán đủ","Đã thanh toán đủ"),""))</f>
        <v>Chưa thanh toán đủ</v>
      </c>
      <c r="J125" s="30" cm="1">
        <f t="array" ref="J125">IF($E125="","",IFERROR(_xlfn.IFS($D125="trọn gói",$F125*1%,$D125="tự lắp",$F125*0.8%,$D125="phân phối",$F125*0.2%),""))</f>
        <v>2460000</v>
      </c>
      <c r="K125" s="11"/>
    </row>
    <row r="126" spans="1:11" ht="62.5">
      <c r="A126" s="4" t="s">
        <v>62</v>
      </c>
      <c r="B126" s="12" t="s">
        <v>188</v>
      </c>
      <c r="C126" s="4" t="s">
        <v>8</v>
      </c>
      <c r="D126" s="4" t="s">
        <v>479</v>
      </c>
      <c r="E126" s="9" t="s">
        <v>211</v>
      </c>
      <c r="F126" s="7">
        <v>33000000</v>
      </c>
      <c r="G126" s="7">
        <v>33000000</v>
      </c>
      <c r="H126" s="36"/>
      <c r="I126" s="8" t="str">
        <f>IF($E126="","",IFERROR(IF(N($H126)&lt;&gt;0,"Chưa thanh toán đủ","Đã thanh toán đủ"),""))</f>
        <v>Đã thanh toán đủ</v>
      </c>
      <c r="J126" s="30" cm="1">
        <f t="array" ref="J126">IF($E126="","",IFERROR(_xlfn.IFS($D126="trọn gói",$F126*1%,$D126="tự lắp",$F126*0.8%,$D126="phân phối",$F126*0.2%),""))</f>
        <v>264000</v>
      </c>
      <c r="K126" s="11"/>
    </row>
    <row r="127" spans="1:11" ht="14">
      <c r="A127" s="4"/>
      <c r="B127" s="12" t="s">
        <v>188</v>
      </c>
      <c r="C127" s="4" t="s">
        <v>8</v>
      </c>
      <c r="D127" s="4" t="s">
        <v>480</v>
      </c>
      <c r="E127" s="9"/>
      <c r="F127" s="7">
        <f>SUM(F105:F126)</f>
        <v>2578762550</v>
      </c>
      <c r="G127" s="7">
        <f t="shared" ref="G127:G128" si="18">F127</f>
        <v>2578762550</v>
      </c>
      <c r="H127" s="36"/>
      <c r="I127" s="8" t="str">
        <f>IF($E127="","",IFERROR(IF(N($H127)&lt;&gt;0,"Chưa thanh toán đủ","Đã thanh toán đủ"),""))</f>
        <v/>
      </c>
      <c r="J127" s="30" t="str" cm="1">
        <f t="array" ref="J127">IF($E127="","",IFERROR(_xlfn.IFS($D127="trọn gói",$F127*1%,$D127="tự lắp",$F127*0.8%,$D127="phân phối",$F127*0.2%),""))</f>
        <v/>
      </c>
      <c r="K127" s="11"/>
    </row>
    <row r="128" spans="1:11" ht="14">
      <c r="A128" s="4"/>
      <c r="B128" s="12" t="s">
        <v>188</v>
      </c>
      <c r="C128" s="4" t="s">
        <v>8</v>
      </c>
      <c r="D128" s="4" t="s">
        <v>480</v>
      </c>
      <c r="E128" s="9"/>
      <c r="F128" s="12"/>
      <c r="G128" s="7">
        <f t="shared" si="18"/>
        <v>0</v>
      </c>
      <c r="H128" s="36">
        <f>F127-G128</f>
        <v>2578762550</v>
      </c>
      <c r="I128" s="8" t="str">
        <f>IF($E128="","",IFERROR(IF(N($H128)&lt;&gt;0,"Chưa thanh toán đủ","Đã thanh toán đủ"),""))</f>
        <v/>
      </c>
      <c r="J128" s="30" t="str" cm="1">
        <f t="array" ref="J128">IF($E128="","",IFERROR(_xlfn.IFS($D128="trọn gói",$F128*1%,$D128="tự lắp",$F128*0.8%,$D128="phân phối",$F128*0.2%),""))</f>
        <v/>
      </c>
      <c r="K128" s="11"/>
    </row>
    <row r="129" spans="1:11" ht="50">
      <c r="A129" s="4" t="s">
        <v>212</v>
      </c>
      <c r="B129" s="12" t="s">
        <v>188</v>
      </c>
      <c r="C129" s="4" t="s">
        <v>8</v>
      </c>
      <c r="D129" s="4" t="s">
        <v>480</v>
      </c>
      <c r="E129" s="9" t="s">
        <v>213</v>
      </c>
      <c r="F129" s="10">
        <v>254467500</v>
      </c>
      <c r="G129" s="10">
        <v>254000000</v>
      </c>
      <c r="H129" s="34">
        <f t="shared" ref="H129:H131" si="19">F129-G129</f>
        <v>467500</v>
      </c>
      <c r="I129" s="8" t="str">
        <f>IF($E129="","",IFERROR(IF(N($H129)&lt;&gt;0,"Chưa thanh toán đủ","Đã thanh toán đủ"),""))</f>
        <v>Chưa thanh toán đủ</v>
      </c>
      <c r="J129" s="30" cm="1">
        <f t="array" ref="J129">IF($E129="","",IFERROR(_xlfn.IFS($D129="trọn gói",$F129*1%,$D129="tự lắp",$F129*0.8%,$D129="phân phối",$F129*0.2%),""))</f>
        <v>2544675</v>
      </c>
      <c r="K129" s="11" t="s">
        <v>214</v>
      </c>
    </row>
    <row r="130" spans="1:11" ht="50">
      <c r="A130" s="4" t="s">
        <v>212</v>
      </c>
      <c r="B130" s="12" t="s">
        <v>188</v>
      </c>
      <c r="C130" s="4" t="s">
        <v>8</v>
      </c>
      <c r="D130" s="4" t="s">
        <v>480</v>
      </c>
      <c r="E130" s="9" t="s">
        <v>215</v>
      </c>
      <c r="F130" s="10">
        <v>1080000000</v>
      </c>
      <c r="G130" s="10">
        <v>10000000</v>
      </c>
      <c r="H130" s="34">
        <f t="shared" si="19"/>
        <v>1070000000</v>
      </c>
      <c r="I130" s="8" t="str">
        <f>IF($E130="","",IFERROR(IF(N($H130)&lt;&gt;0,"Chưa thanh toán đủ","Đã thanh toán đủ"),""))</f>
        <v>Chưa thanh toán đủ</v>
      </c>
      <c r="J130" s="30" cm="1">
        <f t="array" ref="J130">IF($E130="","",IFERROR(_xlfn.IFS($D130="trọn gói",$F130*1%,$D130="tự lắp",$F130*0.8%,$D130="phân phối",$F130*0.2%),""))</f>
        <v>10800000</v>
      </c>
      <c r="K130" s="11"/>
    </row>
    <row r="131" spans="1:11" ht="50">
      <c r="A131" s="4" t="s">
        <v>212</v>
      </c>
      <c r="B131" s="12" t="s">
        <v>188</v>
      </c>
      <c r="C131" s="4" t="s">
        <v>8</v>
      </c>
      <c r="D131" s="4" t="s">
        <v>480</v>
      </c>
      <c r="E131" s="9" t="s">
        <v>216</v>
      </c>
      <c r="F131" s="7">
        <v>112500000</v>
      </c>
      <c r="G131" s="7">
        <v>112100000</v>
      </c>
      <c r="H131" s="34">
        <f t="shared" si="19"/>
        <v>400000</v>
      </c>
      <c r="I131" s="8" t="str">
        <f>IF($E131="","",IFERROR(IF(N($H131)&lt;&gt;0,"Chưa thanh toán đủ","Đã thanh toán đủ"),""))</f>
        <v>Chưa thanh toán đủ</v>
      </c>
      <c r="J131" s="30" cm="1">
        <f t="array" ref="J131">IF($E131="","",IFERROR(_xlfn.IFS($D131="trọn gói",$F131*1%,$D131="tự lắp",$F131*0.8%,$D131="phân phối",$F131*0.2%),""))</f>
        <v>1125000</v>
      </c>
      <c r="K131" s="11" t="s">
        <v>217</v>
      </c>
    </row>
    <row r="132" spans="1:11" ht="50">
      <c r="A132" s="4" t="s">
        <v>212</v>
      </c>
      <c r="B132" s="12" t="s">
        <v>188</v>
      </c>
      <c r="C132" s="4" t="s">
        <v>8</v>
      </c>
      <c r="D132" s="4" t="s">
        <v>479</v>
      </c>
      <c r="E132" s="9" t="s">
        <v>218</v>
      </c>
      <c r="F132" s="7">
        <v>126394000</v>
      </c>
      <c r="G132" s="7">
        <v>126394000</v>
      </c>
      <c r="H132" s="34"/>
      <c r="I132" s="8" t="str">
        <f>IF($E132="","",IFERROR(IF(N($H132)&lt;&gt;0,"Chưa thanh toán đủ","Đã thanh toán đủ"),""))</f>
        <v>Đã thanh toán đủ</v>
      </c>
      <c r="J132" s="30" cm="1">
        <f t="array" ref="J132">IF($E132="","",IFERROR(_xlfn.IFS($D132="trọn gói",$F132*1%,$D132="tự lắp",$F132*0.8%,$D132="phân phối",$F132*0.2%),""))</f>
        <v>1011152</v>
      </c>
      <c r="K132" s="11"/>
    </row>
    <row r="133" spans="1:11" ht="50">
      <c r="A133" s="4" t="s">
        <v>212</v>
      </c>
      <c r="B133" s="12" t="s">
        <v>188</v>
      </c>
      <c r="C133" s="4" t="s">
        <v>8</v>
      </c>
      <c r="D133" s="4" t="s">
        <v>480</v>
      </c>
      <c r="E133" s="9" t="s">
        <v>219</v>
      </c>
      <c r="F133" s="10">
        <f>162951000+6549000</f>
        <v>169500000</v>
      </c>
      <c r="G133" s="10">
        <v>169500000</v>
      </c>
      <c r="H133" s="34"/>
      <c r="I133" s="8" t="str">
        <f>IF($E133="","",IFERROR(IF(N($H133)&lt;&gt;0,"Chưa thanh toán đủ","Đã thanh toán đủ"),""))</f>
        <v>Đã thanh toán đủ</v>
      </c>
      <c r="J133" s="30" cm="1">
        <f t="array" ref="J133">IF($E133="","",IFERROR(_xlfn.IFS($D133="trọn gói",$F133*1%,$D133="tự lắp",$F133*0.8%,$D133="phân phối",$F133*0.2%),""))</f>
        <v>1695000</v>
      </c>
      <c r="K133" s="11" t="s">
        <v>220</v>
      </c>
    </row>
    <row r="134" spans="1:11" ht="50">
      <c r="A134" s="4" t="s">
        <v>212</v>
      </c>
      <c r="B134" s="12" t="s">
        <v>188</v>
      </c>
      <c r="C134" s="4" t="s">
        <v>8</v>
      </c>
      <c r="D134" s="4" t="s">
        <v>480</v>
      </c>
      <c r="E134" s="9" t="s">
        <v>221</v>
      </c>
      <c r="F134" s="10">
        <v>142346300</v>
      </c>
      <c r="G134" s="10">
        <v>140346300</v>
      </c>
      <c r="H134" s="34">
        <f t="shared" ref="H134" si="20">F134-G134</f>
        <v>2000000</v>
      </c>
      <c r="I134" s="8" t="str">
        <f>IF($E134="","",IFERROR(IF(N($H134)&lt;&gt;0,"Chưa thanh toán đủ","Đã thanh toán đủ"),""))</f>
        <v>Chưa thanh toán đủ</v>
      </c>
      <c r="J134" s="30" cm="1">
        <f t="array" ref="J134">IF($E134="","",IFERROR(_xlfn.IFS($D134="trọn gói",$F134*1%,$D134="tự lắp",$F134*0.8%,$D134="phân phối",$F134*0.2%),""))</f>
        <v>1423463</v>
      </c>
      <c r="K134" s="11" t="s">
        <v>222</v>
      </c>
    </row>
    <row r="135" spans="1:11" ht="50">
      <c r="A135" s="4" t="s">
        <v>212</v>
      </c>
      <c r="B135" s="12" t="s">
        <v>188</v>
      </c>
      <c r="C135" s="4" t="s">
        <v>8</v>
      </c>
      <c r="D135" s="4" t="s">
        <v>148</v>
      </c>
      <c r="E135" s="9" t="s">
        <v>223</v>
      </c>
      <c r="F135" s="7">
        <v>9688800</v>
      </c>
      <c r="G135" s="7">
        <v>9688800</v>
      </c>
      <c r="H135" s="34"/>
      <c r="I135" s="8" t="str">
        <f>IF($E135="","",IFERROR(IF(N($H135)&lt;&gt;0,"Chưa thanh toán đủ","Đã thanh toán đủ"),""))</f>
        <v>Đã thanh toán đủ</v>
      </c>
      <c r="J135" s="30" cm="1">
        <f t="array" ref="J135">IF($E135="","",IFERROR(_xlfn.IFS($D135="trọn gói",$F135*1%,$D135="tự lắp",$F135*0.8%,$D135="phân phối",$F135*0.2%),""))</f>
        <v>19377.600000000002</v>
      </c>
      <c r="K135" s="11"/>
    </row>
    <row r="136" spans="1:11" ht="37.5">
      <c r="A136" s="4" t="s">
        <v>212</v>
      </c>
      <c r="B136" s="12" t="s">
        <v>188</v>
      </c>
      <c r="C136" s="4" t="s">
        <v>8</v>
      </c>
      <c r="D136" s="4" t="s">
        <v>479</v>
      </c>
      <c r="E136" s="9" t="s">
        <v>224</v>
      </c>
      <c r="F136" s="7">
        <v>49072000</v>
      </c>
      <c r="G136" s="7">
        <v>49072000</v>
      </c>
      <c r="H136" s="34"/>
      <c r="I136" s="8" t="str">
        <f>IF($E136="","",IFERROR(IF(N($H136)&lt;&gt;0,"Chưa thanh toán đủ","Đã thanh toán đủ"),""))</f>
        <v>Đã thanh toán đủ</v>
      </c>
      <c r="J136" s="30" cm="1">
        <f t="array" ref="J136">IF($E136="","",IFERROR(_xlfn.IFS($D136="trọn gói",$F136*1%,$D136="tự lắp",$F136*0.8%,$D136="phân phối",$F136*0.2%),""))</f>
        <v>392576</v>
      </c>
      <c r="K136" s="11"/>
    </row>
    <row r="137" spans="1:11" ht="75">
      <c r="A137" s="4" t="s">
        <v>6</v>
      </c>
      <c r="B137" s="12" t="s">
        <v>188</v>
      </c>
      <c r="C137" s="4" t="s">
        <v>8</v>
      </c>
      <c r="D137" s="4" t="s">
        <v>480</v>
      </c>
      <c r="E137" s="9" t="s">
        <v>225</v>
      </c>
      <c r="F137" s="7">
        <v>261832500</v>
      </c>
      <c r="G137" s="7">
        <v>10000000</v>
      </c>
      <c r="H137" s="34">
        <f t="shared" ref="H137:H138" si="21">F137-G137</f>
        <v>251832500</v>
      </c>
      <c r="I137" s="8" t="str">
        <f>IF($E137="","",IFERROR(IF(N($H137)&lt;&gt;0,"Chưa thanh toán đủ","Đã thanh toán đủ"),""))</f>
        <v>Chưa thanh toán đủ</v>
      </c>
      <c r="J137" s="30" cm="1">
        <f t="array" ref="J137">IF($E137="","",IFERROR(_xlfn.IFS($D137="trọn gói",$F137*1%,$D137="tự lắp",$F137*0.8%,$D137="phân phối",$F137*0.2%),""))</f>
        <v>2618325</v>
      </c>
      <c r="K137" s="11" t="s">
        <v>226</v>
      </c>
    </row>
    <row r="138" spans="1:11" ht="75">
      <c r="A138" s="4" t="s">
        <v>6</v>
      </c>
      <c r="B138" s="12" t="s">
        <v>188</v>
      </c>
      <c r="C138" s="4" t="s">
        <v>8</v>
      </c>
      <c r="D138" s="4" t="s">
        <v>480</v>
      </c>
      <c r="E138" s="9" t="s">
        <v>227</v>
      </c>
      <c r="F138" s="7">
        <v>311895000</v>
      </c>
      <c r="G138" s="7">
        <f>F138</f>
        <v>311895000</v>
      </c>
      <c r="H138" s="34">
        <f t="shared" si="21"/>
        <v>0</v>
      </c>
      <c r="I138" s="8" t="str">
        <f>IF($E138="","",IFERROR(IF(N($H138)&lt;&gt;0,"Chưa thanh toán đủ","Đã thanh toán đủ"),""))</f>
        <v>Đã thanh toán đủ</v>
      </c>
      <c r="J138" s="30" cm="1">
        <f t="array" ref="J138">IF($E138="","",IFERROR(_xlfn.IFS($D138="trọn gói",$F138*1%,$D138="tự lắp",$F138*0.8%,$D138="phân phối",$F138*0.2%),""))</f>
        <v>3118950</v>
      </c>
      <c r="K138" s="11" t="s">
        <v>228</v>
      </c>
    </row>
    <row r="139" spans="1:11" ht="62.5">
      <c r="A139" s="4" t="s">
        <v>6</v>
      </c>
      <c r="B139" s="12" t="s">
        <v>188</v>
      </c>
      <c r="C139" s="4" t="s">
        <v>8</v>
      </c>
      <c r="D139" s="4" t="s">
        <v>480</v>
      </c>
      <c r="E139" s="9" t="s">
        <v>229</v>
      </c>
      <c r="F139" s="7">
        <v>89592000</v>
      </c>
      <c r="G139" s="7">
        <v>89592000</v>
      </c>
      <c r="H139" s="34"/>
      <c r="I139" s="8" t="str">
        <f>IF($E139="","",IFERROR(IF(N($H139)&lt;&gt;0,"Chưa thanh toán đủ","Đã thanh toán đủ"),""))</f>
        <v>Đã thanh toán đủ</v>
      </c>
      <c r="J139" s="30" cm="1">
        <f t="array" ref="J139">IF($E139="","",IFERROR(_xlfn.IFS($D139="trọn gói",$F139*1%,$D139="tự lắp",$F139*0.8%,$D139="phân phối",$F139*0.2%),""))</f>
        <v>895920</v>
      </c>
      <c r="K139" s="11" t="s">
        <v>230</v>
      </c>
    </row>
    <row r="140" spans="1:11" ht="112.5">
      <c r="A140" s="4" t="s">
        <v>6</v>
      </c>
      <c r="B140" s="12" t="s">
        <v>188</v>
      </c>
      <c r="C140" s="4" t="s">
        <v>8</v>
      </c>
      <c r="D140" s="4" t="s">
        <v>479</v>
      </c>
      <c r="E140" s="9" t="s">
        <v>231</v>
      </c>
      <c r="F140" s="7">
        <v>56860500</v>
      </c>
      <c r="G140" s="7">
        <f t="shared" ref="G140:G142" si="22">F140</f>
        <v>56860500</v>
      </c>
      <c r="H140" s="34"/>
      <c r="I140" s="8" t="str">
        <f>IF($E140="","",IFERROR(IF(N($H140)&lt;&gt;0,"Chưa thanh toán đủ","Đã thanh toán đủ"),""))</f>
        <v>Đã thanh toán đủ</v>
      </c>
      <c r="J140" s="30" cm="1">
        <f t="array" ref="J140">IF($E140="","",IFERROR(_xlfn.IFS($D140="trọn gói",$F140*1%,$D140="tự lắp",$F140*0.8%,$D140="phân phối",$F140*0.2%),""))</f>
        <v>454884</v>
      </c>
      <c r="K140" s="11" t="s">
        <v>232</v>
      </c>
    </row>
    <row r="141" spans="1:11" ht="37.5">
      <c r="A141" s="4" t="s">
        <v>6</v>
      </c>
      <c r="B141" s="12" t="s">
        <v>188</v>
      </c>
      <c r="C141" s="4" t="s">
        <v>8</v>
      </c>
      <c r="D141" s="4" t="s">
        <v>479</v>
      </c>
      <c r="E141" s="9" t="s">
        <v>233</v>
      </c>
      <c r="F141" s="7">
        <v>83458900</v>
      </c>
      <c r="G141" s="7">
        <f t="shared" si="22"/>
        <v>83458900</v>
      </c>
      <c r="H141" s="34"/>
      <c r="I141" s="8" t="str">
        <f>IF($E141="","",IFERROR(IF(N($H141)&lt;&gt;0,"Chưa thanh toán đủ","Đã thanh toán đủ"),""))</f>
        <v>Đã thanh toán đủ</v>
      </c>
      <c r="J141" s="30" cm="1">
        <f t="array" ref="J141">IF($E141="","",IFERROR(_xlfn.IFS($D141="trọn gói",$F141*1%,$D141="tự lắp",$F141*0.8%,$D141="phân phối",$F141*0.2%),""))</f>
        <v>667671.20000000007</v>
      </c>
      <c r="K141" s="11" t="s">
        <v>234</v>
      </c>
    </row>
    <row r="142" spans="1:11" ht="112.5">
      <c r="A142" s="4" t="s">
        <v>6</v>
      </c>
      <c r="B142" s="12" t="s">
        <v>188</v>
      </c>
      <c r="C142" s="4" t="s">
        <v>8</v>
      </c>
      <c r="D142" s="4" t="s">
        <v>480</v>
      </c>
      <c r="E142" s="9" t="s">
        <v>235</v>
      </c>
      <c r="F142" s="7">
        <v>136573000</v>
      </c>
      <c r="G142" s="7">
        <f t="shared" si="22"/>
        <v>136573000</v>
      </c>
      <c r="H142" s="34"/>
      <c r="I142" s="8" t="str">
        <f>IF($E142="","",IFERROR(IF(N($H142)&lt;&gt;0,"Chưa thanh toán đủ","Đã thanh toán đủ"),""))</f>
        <v>Đã thanh toán đủ</v>
      </c>
      <c r="J142" s="38" cm="1">
        <f t="array" ref="J142">IF($E142="","",IFERROR(_xlfn.IFS($D142="trọn gói",$F142*1%,$D142="tự lắp",$F142*0.8%,$D142="phân phối",$F142*0.2%),""))</f>
        <v>1365730</v>
      </c>
      <c r="K142" s="28" t="s">
        <v>236</v>
      </c>
    </row>
    <row r="143" spans="1:11" ht="37.5">
      <c r="A143" s="4" t="s">
        <v>6</v>
      </c>
      <c r="B143" s="12" t="s">
        <v>188</v>
      </c>
      <c r="C143" s="4" t="s">
        <v>8</v>
      </c>
      <c r="D143" s="4" t="s">
        <v>480</v>
      </c>
      <c r="E143" s="9" t="s">
        <v>237</v>
      </c>
      <c r="F143" s="7">
        <v>102000000</v>
      </c>
      <c r="G143" s="7">
        <v>102000000</v>
      </c>
      <c r="H143" s="34"/>
      <c r="I143" s="8" t="str">
        <f>IF($E143="","",IFERROR(IF(N($H143)&lt;&gt;0,"Chưa thanh toán đủ","Đã thanh toán đủ"),""))</f>
        <v>Đã thanh toán đủ</v>
      </c>
      <c r="J143" s="30" cm="1">
        <f t="array" ref="J143">IF($E143="","",IFERROR(_xlfn.IFS($D143="trọn gói",$F143*1%,$D143="tự lắp",$F143*0.8%,$D143="phân phối",$F143*0.2%),""))</f>
        <v>1020000</v>
      </c>
      <c r="K143" s="11" t="s">
        <v>238</v>
      </c>
    </row>
    <row r="144" spans="1:11" ht="37.5">
      <c r="A144" s="4" t="s">
        <v>6</v>
      </c>
      <c r="B144" s="12" t="s">
        <v>188</v>
      </c>
      <c r="C144" s="4" t="s">
        <v>8</v>
      </c>
      <c r="D144" s="4" t="s">
        <v>479</v>
      </c>
      <c r="E144" s="9" t="s">
        <v>239</v>
      </c>
      <c r="F144" s="7">
        <v>21287000</v>
      </c>
      <c r="G144" s="7">
        <v>21267000</v>
      </c>
      <c r="H144" s="34"/>
      <c r="I144" s="8" t="str">
        <f>IF($E144="","",IFERROR(IF(N($H144)&lt;&gt;0,"Chưa thanh toán đủ","Đã thanh toán đủ"),""))</f>
        <v>Đã thanh toán đủ</v>
      </c>
      <c r="J144" s="30" cm="1">
        <f t="array" ref="J144">IF($E144="","",IFERROR(_xlfn.IFS($D144="trọn gói",$F144*1%,$D144="tự lắp",$F144*0.8%,$D144="phân phối",$F144*0.2%),""))</f>
        <v>170296</v>
      </c>
      <c r="K144" s="11" t="s">
        <v>240</v>
      </c>
    </row>
    <row r="145" spans="1:11" ht="50">
      <c r="A145" s="4" t="s">
        <v>6</v>
      </c>
      <c r="B145" s="12" t="s">
        <v>188</v>
      </c>
      <c r="C145" s="4" t="s">
        <v>23</v>
      </c>
      <c r="D145" s="4" t="s">
        <v>480</v>
      </c>
      <c r="E145" s="9" t="s">
        <v>241</v>
      </c>
      <c r="F145" s="7">
        <v>223960000</v>
      </c>
      <c r="G145" s="7">
        <v>223960000</v>
      </c>
      <c r="H145" s="34"/>
      <c r="I145" s="8" t="str">
        <f>IF($E145="","",IFERROR(IF(N($H145)&lt;&gt;0,"Chưa thanh toán đủ","Đã thanh toán đủ"),""))</f>
        <v>Đã thanh toán đủ</v>
      </c>
      <c r="J145" s="30" cm="1">
        <f t="array" ref="J145">IF($E145="","",IFERROR(_xlfn.IFS($D145="trọn gói",$F145*1%,$D145="tự lắp",$F145*0.8%,$D145="phân phối",$F145*0.2%),""))</f>
        <v>2239600</v>
      </c>
      <c r="K145" s="11" t="s">
        <v>242</v>
      </c>
    </row>
    <row r="146" spans="1:11" ht="37.5">
      <c r="A146" s="4" t="s">
        <v>6</v>
      </c>
      <c r="B146" s="12" t="s">
        <v>188</v>
      </c>
      <c r="C146" s="4" t="s">
        <v>8</v>
      </c>
      <c r="D146" s="4" t="s">
        <v>479</v>
      </c>
      <c r="E146" s="9" t="s">
        <v>243</v>
      </c>
      <c r="F146" s="7">
        <v>6300000</v>
      </c>
      <c r="G146" s="7">
        <f t="shared" ref="G146:G149" si="23">F146</f>
        <v>6300000</v>
      </c>
      <c r="H146" s="34"/>
      <c r="I146" s="8" t="str">
        <f>IF($E146="","",IFERROR(IF(N($H146)&lt;&gt;0,"Chưa thanh toán đủ","Đã thanh toán đủ"),""))</f>
        <v>Đã thanh toán đủ</v>
      </c>
      <c r="J146" s="30" cm="1">
        <f t="array" ref="J146">IF($E146="","",IFERROR(_xlfn.IFS($D146="trọn gói",$F146*1%,$D146="tự lắp",$F146*0.8%,$D146="phân phối",$F146*0.2%),""))</f>
        <v>50400</v>
      </c>
      <c r="K146" s="11" t="s">
        <v>244</v>
      </c>
    </row>
    <row r="147" spans="1:11" ht="50">
      <c r="A147" s="4" t="s">
        <v>6</v>
      </c>
      <c r="B147" s="12" t="s">
        <v>188</v>
      </c>
      <c r="C147" s="4" t="s">
        <v>8</v>
      </c>
      <c r="D147" s="4" t="s">
        <v>479</v>
      </c>
      <c r="E147" s="9" t="s">
        <v>245</v>
      </c>
      <c r="F147" s="7">
        <v>86481000</v>
      </c>
      <c r="G147" s="7">
        <f t="shared" si="23"/>
        <v>86481000</v>
      </c>
      <c r="H147" s="34"/>
      <c r="I147" s="8" t="str">
        <f>IF($E147="","",IFERROR(IF(N($H147)&lt;&gt;0,"Chưa thanh toán đủ","Đã thanh toán đủ"),""))</f>
        <v>Đã thanh toán đủ</v>
      </c>
      <c r="J147" s="30" cm="1">
        <f t="array" ref="J147">IF($E147="","",IFERROR(_xlfn.IFS($D147="trọn gói",$F147*1%,$D147="tự lắp",$F147*0.8%,$D147="phân phối",$F147*0.2%),""))</f>
        <v>691848</v>
      </c>
      <c r="K147" s="11" t="s">
        <v>246</v>
      </c>
    </row>
    <row r="148" spans="1:11" ht="25">
      <c r="A148" s="4" t="s">
        <v>6</v>
      </c>
      <c r="B148" s="12" t="s">
        <v>188</v>
      </c>
      <c r="C148" s="4" t="s">
        <v>8</v>
      </c>
      <c r="D148" s="4" t="s">
        <v>148</v>
      </c>
      <c r="E148" s="9" t="s">
        <v>247</v>
      </c>
      <c r="F148" s="7">
        <v>43600000</v>
      </c>
      <c r="G148" s="7">
        <f t="shared" si="23"/>
        <v>43600000</v>
      </c>
      <c r="H148" s="34"/>
      <c r="I148" s="8" t="str">
        <f>IF($E148="","",IFERROR(IF(N($H148)&lt;&gt;0,"Chưa thanh toán đủ","Đã thanh toán đủ"),""))</f>
        <v>Đã thanh toán đủ</v>
      </c>
      <c r="J148" s="30" cm="1">
        <f t="array" ref="J148">IF($E148="","",IFERROR(_xlfn.IFS($D148="trọn gói",$F148*1%,$D148="tự lắp",$F148*0.8%,$D148="phân phối",$F148*0.2%),""))</f>
        <v>87200</v>
      </c>
      <c r="K148" s="11"/>
    </row>
    <row r="149" spans="1:11" ht="62.5">
      <c r="A149" s="4" t="s">
        <v>6</v>
      </c>
      <c r="B149" s="12" t="s">
        <v>188</v>
      </c>
      <c r="C149" s="4" t="s">
        <v>8</v>
      </c>
      <c r="D149" s="4" t="s">
        <v>148</v>
      </c>
      <c r="E149" s="9" t="s">
        <v>248</v>
      </c>
      <c r="F149" s="7">
        <v>45100000</v>
      </c>
      <c r="G149" s="7">
        <f t="shared" si="23"/>
        <v>45100000</v>
      </c>
      <c r="H149" s="34"/>
      <c r="I149" s="8" t="str">
        <f>IF($E149="","",IFERROR(IF(N($H149)&lt;&gt;0,"Chưa thanh toán đủ","Đã thanh toán đủ"),""))</f>
        <v>Đã thanh toán đủ</v>
      </c>
      <c r="J149" s="30" cm="1">
        <f t="array" ref="J149">IF($E149="","",IFERROR(_xlfn.IFS($D149="trọn gói",$F149*1%,$D149="tự lắp",$F149*0.8%,$D149="phân phối",$F149*0.2%),""))</f>
        <v>90200</v>
      </c>
      <c r="K149" s="11" t="s">
        <v>249</v>
      </c>
    </row>
    <row r="150" spans="1:11" ht="87.5">
      <c r="A150" s="4" t="s">
        <v>6</v>
      </c>
      <c r="B150" s="12" t="s">
        <v>188</v>
      </c>
      <c r="C150" s="4" t="s">
        <v>8</v>
      </c>
      <c r="D150" s="4" t="s">
        <v>480</v>
      </c>
      <c r="E150" s="9" t="s">
        <v>250</v>
      </c>
      <c r="F150" s="7">
        <v>124700000</v>
      </c>
      <c r="G150" s="7">
        <v>124700000</v>
      </c>
      <c r="H150" s="34"/>
      <c r="I150" s="8" t="str">
        <f>IF($E150="","",IFERROR(IF(N($H150)&lt;&gt;0,"Chưa thanh toán đủ","Đã thanh toán đủ"),""))</f>
        <v>Đã thanh toán đủ</v>
      </c>
      <c r="J150" s="30" cm="1">
        <f t="array" ref="J150">IF($E150="","",IFERROR(_xlfn.IFS($D150="trọn gói",$F150*1%,$D150="tự lắp",$F150*0.8%,$D150="phân phối",$F150*0.2%),""))</f>
        <v>1247000</v>
      </c>
      <c r="K150" s="11" t="s">
        <v>251</v>
      </c>
    </row>
    <row r="151" spans="1:11" ht="87.5">
      <c r="A151" s="4" t="s">
        <v>6</v>
      </c>
      <c r="B151" s="12" t="s">
        <v>188</v>
      </c>
      <c r="C151" s="4" t="s">
        <v>8</v>
      </c>
      <c r="D151" s="4" t="s">
        <v>480</v>
      </c>
      <c r="E151" s="9" t="s">
        <v>252</v>
      </c>
      <c r="F151" s="7">
        <v>120000000</v>
      </c>
      <c r="G151" s="7">
        <v>120000000</v>
      </c>
      <c r="H151" s="34"/>
      <c r="I151" s="8" t="str">
        <f>IF($E151="","",IFERROR(IF(N($H151)&lt;&gt;0,"Chưa thanh toán đủ","Đã thanh toán đủ"),""))</f>
        <v>Đã thanh toán đủ</v>
      </c>
      <c r="J151" s="30" cm="1">
        <f t="array" ref="J151">IF($E151="","",IFERROR(_xlfn.IFS($D151="trọn gói",$F151*1%,$D151="tự lắp",$F151*0.8%,$D151="phân phối",$F151*0.2%),""))</f>
        <v>1200000</v>
      </c>
      <c r="K151" s="11" t="s">
        <v>253</v>
      </c>
    </row>
    <row r="152" spans="1:11" ht="37.5">
      <c r="A152" s="4" t="s">
        <v>6</v>
      </c>
      <c r="B152" s="12" t="s">
        <v>188</v>
      </c>
      <c r="C152" s="4" t="s">
        <v>8</v>
      </c>
      <c r="D152" s="4" t="s">
        <v>479</v>
      </c>
      <c r="E152" s="9" t="s">
        <v>254</v>
      </c>
      <c r="F152" s="7">
        <v>26430000</v>
      </c>
      <c r="G152" s="7">
        <v>26430000</v>
      </c>
      <c r="H152" s="34"/>
      <c r="I152" s="8" t="str">
        <f>IF($E152="","",IFERROR(IF(N($H152)&lt;&gt;0,"Chưa thanh toán đủ","Đã thanh toán đủ"),""))</f>
        <v>Đã thanh toán đủ</v>
      </c>
      <c r="J152" s="30" cm="1">
        <f t="array" ref="J152">IF($E152="","",IFERROR(_xlfn.IFS($D152="trọn gói",$F152*1%,$D152="tự lắp",$F152*0.8%,$D152="phân phối",$F152*0.2%),""))</f>
        <v>211440</v>
      </c>
      <c r="K152" s="11" t="s">
        <v>255</v>
      </c>
    </row>
    <row r="153" spans="1:11" ht="37.5">
      <c r="A153" s="4" t="s">
        <v>6</v>
      </c>
      <c r="B153" s="12" t="s">
        <v>188</v>
      </c>
      <c r="C153" s="4" t="s">
        <v>8</v>
      </c>
      <c r="D153" s="4" t="s">
        <v>479</v>
      </c>
      <c r="E153" s="9" t="s">
        <v>256</v>
      </c>
      <c r="F153" s="7">
        <v>4940000</v>
      </c>
      <c r="G153" s="7">
        <f>F153</f>
        <v>4940000</v>
      </c>
      <c r="H153" s="34"/>
      <c r="I153" s="8" t="str">
        <f>IF($E153="","",IFERROR(IF(N($H153)&lt;&gt;0,"Chưa thanh toán đủ","Đã thanh toán đủ"),""))</f>
        <v>Đã thanh toán đủ</v>
      </c>
      <c r="J153" s="30" cm="1">
        <f t="array" ref="J153">IF($E153="","",IFERROR(_xlfn.IFS($D153="trọn gói",$F153*1%,$D153="tự lắp",$F153*0.8%,$D153="phân phối",$F153*0.2%),""))</f>
        <v>39520</v>
      </c>
      <c r="K153" s="11" t="s">
        <v>257</v>
      </c>
    </row>
    <row r="154" spans="1:11" ht="87.5">
      <c r="A154" s="4" t="s">
        <v>6</v>
      </c>
      <c r="B154" s="12" t="s">
        <v>188</v>
      </c>
      <c r="C154" s="4" t="s">
        <v>8</v>
      </c>
      <c r="D154" s="4" t="s">
        <v>479</v>
      </c>
      <c r="E154" s="9" t="s">
        <v>258</v>
      </c>
      <c r="F154" s="7">
        <v>87435900</v>
      </c>
      <c r="G154" s="7">
        <v>87435900</v>
      </c>
      <c r="H154" s="34"/>
      <c r="I154" s="8" t="str">
        <f>IF($E154="","",IFERROR(IF(N($H154)&lt;&gt;0,"Chưa thanh toán đủ","Đã thanh toán đủ"),""))</f>
        <v>Đã thanh toán đủ</v>
      </c>
      <c r="J154" s="30" cm="1">
        <f t="array" ref="J154">IF($E154="","",IFERROR(_xlfn.IFS($D154="trọn gói",$F154*1%,$D154="tự lắp",$F154*0.8%,$D154="phân phối",$F154*0.2%),""))</f>
        <v>699487.20000000007</v>
      </c>
      <c r="K154" s="11" t="s">
        <v>259</v>
      </c>
    </row>
    <row r="155" spans="1:11" ht="75">
      <c r="A155" s="4" t="s">
        <v>6</v>
      </c>
      <c r="B155" s="12" t="s">
        <v>188</v>
      </c>
      <c r="C155" s="4" t="s">
        <v>8</v>
      </c>
      <c r="D155" s="4" t="s">
        <v>480</v>
      </c>
      <c r="E155" s="9" t="s">
        <v>260</v>
      </c>
      <c r="F155" s="7">
        <v>194300000</v>
      </c>
      <c r="G155" s="7">
        <v>194300000</v>
      </c>
      <c r="H155" s="34"/>
      <c r="I155" s="8" t="str">
        <f>IF($E155="","",IFERROR(IF(N($H155)&lt;&gt;0,"Chưa thanh toán đủ","Đã thanh toán đủ"),""))</f>
        <v>Đã thanh toán đủ</v>
      </c>
      <c r="J155" s="30" cm="1">
        <f t="array" ref="J155">IF($E155="","",IFERROR(_xlfn.IFS($D155="trọn gói",$F155*1%,$D155="tự lắp",$F155*0.8%,$D155="phân phối",$F155*0.2%),""))</f>
        <v>1943000</v>
      </c>
      <c r="K155" s="11" t="s">
        <v>261</v>
      </c>
    </row>
    <row r="156" spans="1:11" ht="75">
      <c r="A156" s="4" t="s">
        <v>6</v>
      </c>
      <c r="B156" s="12" t="s">
        <v>188</v>
      </c>
      <c r="C156" s="4" t="s">
        <v>23</v>
      </c>
      <c r="D156" s="4" t="s">
        <v>480</v>
      </c>
      <c r="E156" s="9" t="s">
        <v>262</v>
      </c>
      <c r="F156" s="7">
        <v>81000000</v>
      </c>
      <c r="G156" s="7">
        <f>F156</f>
        <v>81000000</v>
      </c>
      <c r="H156" s="34"/>
      <c r="I156" s="8" t="str">
        <f>IF($E156="","",IFERROR(IF(N($H156)&lt;&gt;0,"Chưa thanh toán đủ","Đã thanh toán đủ"),""))</f>
        <v>Đã thanh toán đủ</v>
      </c>
      <c r="J156" s="30" cm="1">
        <f t="array" ref="J156">IF($E156="","",IFERROR(_xlfn.IFS($D156="trọn gói",$F156*1%,$D156="tự lắp",$F156*0.8%,$D156="phân phối",$F156*0.2%),""))</f>
        <v>810000</v>
      </c>
      <c r="K156" s="11" t="s">
        <v>263</v>
      </c>
    </row>
    <row r="157" spans="1:11" ht="75">
      <c r="A157" s="4" t="s">
        <v>6</v>
      </c>
      <c r="B157" s="12" t="s">
        <v>188</v>
      </c>
      <c r="C157" s="4" t="s">
        <v>8</v>
      </c>
      <c r="D157" s="4" t="s">
        <v>480</v>
      </c>
      <c r="E157" s="9" t="s">
        <v>264</v>
      </c>
      <c r="F157" s="7">
        <v>127684000</v>
      </c>
      <c r="G157" s="7">
        <v>127684000</v>
      </c>
      <c r="H157" s="34"/>
      <c r="I157" s="8" t="str">
        <f>IF($E157="","",IFERROR(IF(N($H157)&lt;&gt;0,"Chưa thanh toán đủ","Đã thanh toán đủ"),""))</f>
        <v>Đã thanh toán đủ</v>
      </c>
      <c r="J157" s="30" cm="1">
        <f t="array" ref="J157">IF($E157="","",IFERROR(_xlfn.IFS($D157="trọn gói",$F157*1%,$D157="tự lắp",$F157*0.8%,$D157="phân phối",$F157*0.2%),""))</f>
        <v>1276840</v>
      </c>
      <c r="K157" s="11" t="s">
        <v>265</v>
      </c>
    </row>
    <row r="158" spans="1:11" ht="50">
      <c r="A158" s="4" t="s">
        <v>6</v>
      </c>
      <c r="B158" s="12" t="s">
        <v>188</v>
      </c>
      <c r="C158" s="4" t="s">
        <v>8</v>
      </c>
      <c r="D158" s="4" t="s">
        <v>479</v>
      </c>
      <c r="E158" s="9" t="s">
        <v>266</v>
      </c>
      <c r="F158" s="7">
        <v>81677000</v>
      </c>
      <c r="G158" s="7">
        <v>81677000</v>
      </c>
      <c r="H158" s="34"/>
      <c r="I158" s="8" t="str">
        <f>IF($E158="","",IFERROR(IF(N($H158)&lt;&gt;0,"Chưa thanh toán đủ","Đã thanh toán đủ"),""))</f>
        <v>Đã thanh toán đủ</v>
      </c>
      <c r="J158" s="30" cm="1">
        <f t="array" ref="J158">IF($E158="","",IFERROR(_xlfn.IFS($D158="trọn gói",$F158*1%,$D158="tự lắp",$F158*0.8%,$D158="phân phối",$F158*0.2%),""))</f>
        <v>653416</v>
      </c>
      <c r="K158" s="11" t="s">
        <v>267</v>
      </c>
    </row>
    <row r="159" spans="1:11" ht="50">
      <c r="A159" s="4" t="s">
        <v>6</v>
      </c>
      <c r="B159" s="12" t="s">
        <v>188</v>
      </c>
      <c r="C159" s="4" t="s">
        <v>8</v>
      </c>
      <c r="D159" s="4" t="s">
        <v>479</v>
      </c>
      <c r="E159" s="9" t="s">
        <v>268</v>
      </c>
      <c r="F159" s="7">
        <v>76403750</v>
      </c>
      <c r="G159" s="7">
        <f>F159</f>
        <v>76403750</v>
      </c>
      <c r="H159" s="34"/>
      <c r="I159" s="8" t="str">
        <f>IF($E159="","",IFERROR(IF(N($H159)&lt;&gt;0,"Chưa thanh toán đủ","Đã thanh toán đủ"),""))</f>
        <v>Đã thanh toán đủ</v>
      </c>
      <c r="J159" s="30" cm="1">
        <f t="array" ref="J159">IF($E159="","",IFERROR(_xlfn.IFS($D159="trọn gói",$F159*1%,$D159="tự lắp",$F159*0.8%,$D159="phân phối",$F159*0.2%),""))</f>
        <v>611230</v>
      </c>
      <c r="K159" s="11" t="s">
        <v>269</v>
      </c>
    </row>
    <row r="160" spans="1:11" ht="12.5">
      <c r="A160" s="4"/>
      <c r="B160" s="12" t="s">
        <v>188</v>
      </c>
      <c r="C160" s="4" t="s">
        <v>8</v>
      </c>
      <c r="D160" s="4" t="s">
        <v>480</v>
      </c>
      <c r="E160" s="9"/>
      <c r="F160" s="7">
        <f>SUM(F137:F159)</f>
        <v>2393510550</v>
      </c>
      <c r="G160" s="7">
        <f>F160</f>
        <v>2393510550</v>
      </c>
      <c r="H160" s="34"/>
      <c r="I160" s="8" t="str">
        <f>IF($E160="","",IFERROR(IF(N($H160)&lt;&gt;0,"Chưa thanh toán đủ","Đã thanh toán đủ"),""))</f>
        <v/>
      </c>
      <c r="J160" s="30" t="str" cm="1">
        <f t="array" ref="J160">IF($E160="","",IFERROR(_xlfn.IFS($D160="trọn gói",$F160*1%,$D160="tự lắp",$F160*0.8%,$D160="phân phối",$F160*0.2%),""))</f>
        <v/>
      </c>
      <c r="K160" s="11"/>
    </row>
    <row r="161" spans="1:11" ht="50">
      <c r="A161" s="4" t="s">
        <v>49</v>
      </c>
      <c r="B161" s="12" t="s">
        <v>188</v>
      </c>
      <c r="C161" s="4" t="s">
        <v>8</v>
      </c>
      <c r="D161" s="4" t="s">
        <v>480</v>
      </c>
      <c r="E161" s="9" t="s">
        <v>270</v>
      </c>
      <c r="F161" s="7">
        <v>133000000</v>
      </c>
      <c r="G161" s="7">
        <f t="shared" ref="G161:G167" si="24">F161</f>
        <v>133000000</v>
      </c>
      <c r="H161" s="34">
        <f t="shared" ref="H161:H190" si="25">F161-G161</f>
        <v>0</v>
      </c>
      <c r="I161" s="8" t="str">
        <f>IF($E161="","",IFERROR(IF(N($H161)&lt;&gt;0,"Chưa thanh toán đủ","Đã thanh toán đủ"),""))</f>
        <v>Đã thanh toán đủ</v>
      </c>
      <c r="J161" s="30" cm="1">
        <f t="array" ref="J161">IF($E161="","",IFERROR(_xlfn.IFS($D161="trọn gói",$F161*1%,$D161="tự lắp",$F161*0.8%,$D161="phân phối",$F161*0.2%),""))</f>
        <v>1330000</v>
      </c>
      <c r="K161" s="11" t="s">
        <v>271</v>
      </c>
    </row>
    <row r="162" spans="1:11" ht="25">
      <c r="A162" s="4" t="s">
        <v>49</v>
      </c>
      <c r="B162" s="12" t="s">
        <v>188</v>
      </c>
      <c r="C162" s="4" t="s">
        <v>8</v>
      </c>
      <c r="D162" s="4" t="s">
        <v>480</v>
      </c>
      <c r="E162" s="9" t="s">
        <v>272</v>
      </c>
      <c r="F162" s="7">
        <v>162500000</v>
      </c>
      <c r="G162" s="7">
        <f t="shared" si="24"/>
        <v>162500000</v>
      </c>
      <c r="H162" s="34">
        <f t="shared" si="25"/>
        <v>0</v>
      </c>
      <c r="I162" s="8" t="str">
        <f>IF($E162="","",IFERROR(IF(N($H162)&lt;&gt;0,"Chưa thanh toán đủ","Đã thanh toán đủ"),""))</f>
        <v>Đã thanh toán đủ</v>
      </c>
      <c r="J162" s="30" cm="1">
        <f t="array" ref="J162">IF($E162="","",IFERROR(_xlfn.IFS($D162="trọn gói",$F162*1%,$D162="tự lắp",$F162*0.8%,$D162="phân phối",$F162*0.2%),""))</f>
        <v>1625000</v>
      </c>
      <c r="K162" s="11" t="s">
        <v>273</v>
      </c>
    </row>
    <row r="163" spans="1:11" ht="25">
      <c r="A163" s="4" t="s">
        <v>49</v>
      </c>
      <c r="B163" s="12" t="s">
        <v>188</v>
      </c>
      <c r="C163" s="4" t="s">
        <v>8</v>
      </c>
      <c r="D163" s="4" t="s">
        <v>480</v>
      </c>
      <c r="E163" s="9" t="s">
        <v>274</v>
      </c>
      <c r="F163" s="7">
        <v>188000000</v>
      </c>
      <c r="G163" s="7">
        <f t="shared" si="24"/>
        <v>188000000</v>
      </c>
      <c r="H163" s="34">
        <f t="shared" si="25"/>
        <v>0</v>
      </c>
      <c r="I163" s="8" t="str">
        <f>IF($E163="","",IFERROR(IF(N($H163)&lt;&gt;0,"Chưa thanh toán đủ","Đã thanh toán đủ"),""))</f>
        <v>Đã thanh toán đủ</v>
      </c>
      <c r="J163" s="30" cm="1">
        <f t="array" ref="J163">IF($E163="","",IFERROR(_xlfn.IFS($D163="trọn gói",$F163*1%,$D163="tự lắp",$F163*0.8%,$D163="phân phối",$F163*0.2%),""))</f>
        <v>1880000</v>
      </c>
      <c r="K163" s="11" t="s">
        <v>275</v>
      </c>
    </row>
    <row r="164" spans="1:11" ht="37.5">
      <c r="A164" s="4" t="s">
        <v>49</v>
      </c>
      <c r="B164" s="12" t="s">
        <v>188</v>
      </c>
      <c r="C164" s="4" t="s">
        <v>8</v>
      </c>
      <c r="D164" s="4" t="s">
        <v>480</v>
      </c>
      <c r="E164" s="9" t="s">
        <v>276</v>
      </c>
      <c r="F164" s="7">
        <v>93000000</v>
      </c>
      <c r="G164" s="7">
        <f t="shared" si="24"/>
        <v>93000000</v>
      </c>
      <c r="H164" s="34">
        <f t="shared" si="25"/>
        <v>0</v>
      </c>
      <c r="I164" s="8" t="str">
        <f>IF($E164="","",IFERROR(IF(N($H164)&lt;&gt;0,"Chưa thanh toán đủ","Đã thanh toán đủ"),""))</f>
        <v>Đã thanh toán đủ</v>
      </c>
      <c r="J164" s="30" cm="1">
        <f t="array" ref="J164">IF($E164="","",IFERROR(_xlfn.IFS($D164="trọn gói",$F164*1%,$D164="tự lắp",$F164*0.8%,$D164="phân phối",$F164*0.2%),""))</f>
        <v>930000</v>
      </c>
      <c r="K164" s="11" t="s">
        <v>277</v>
      </c>
    </row>
    <row r="165" spans="1:11" ht="12.5">
      <c r="A165" s="4" t="s">
        <v>49</v>
      </c>
      <c r="B165" s="12" t="s">
        <v>188</v>
      </c>
      <c r="C165" s="4" t="s">
        <v>8</v>
      </c>
      <c r="D165" s="4" t="s">
        <v>479</v>
      </c>
      <c r="E165" s="9" t="s">
        <v>278</v>
      </c>
      <c r="F165" s="7">
        <v>4320000</v>
      </c>
      <c r="G165" s="7">
        <f t="shared" si="24"/>
        <v>4320000</v>
      </c>
      <c r="H165" s="34">
        <f t="shared" si="25"/>
        <v>0</v>
      </c>
      <c r="I165" s="8" t="str">
        <f>IF($E165="","",IFERROR(IF(N($H165)&lt;&gt;0,"Chưa thanh toán đủ","Đã thanh toán đủ"),""))</f>
        <v>Đã thanh toán đủ</v>
      </c>
      <c r="J165" s="30" cm="1">
        <f t="array" ref="J165">IF($E165="","",IFERROR(_xlfn.IFS($D165="trọn gói",$F165*1%,$D165="tự lắp",$F165*0.8%,$D165="phân phối",$F165*0.2%),""))</f>
        <v>34560</v>
      </c>
      <c r="K165" s="11" t="s">
        <v>279</v>
      </c>
    </row>
    <row r="166" spans="1:11" ht="25">
      <c r="A166" s="4" t="s">
        <v>49</v>
      </c>
      <c r="B166" s="12" t="s">
        <v>188</v>
      </c>
      <c r="C166" s="4" t="s">
        <v>8</v>
      </c>
      <c r="D166" s="4" t="s">
        <v>480</v>
      </c>
      <c r="E166" s="9" t="s">
        <v>280</v>
      </c>
      <c r="F166" s="7">
        <v>182000000</v>
      </c>
      <c r="G166" s="7">
        <f t="shared" si="24"/>
        <v>182000000</v>
      </c>
      <c r="H166" s="34">
        <f t="shared" si="25"/>
        <v>0</v>
      </c>
      <c r="I166" s="8" t="str">
        <f>IF($E166="","",IFERROR(IF(N($H166)&lt;&gt;0,"Chưa thanh toán đủ","Đã thanh toán đủ"),""))</f>
        <v>Đã thanh toán đủ</v>
      </c>
      <c r="J166" s="30" cm="1">
        <f t="array" ref="J166">IF($E166="","",IFERROR(_xlfn.IFS($D166="trọn gói",$F166*1%,$D166="tự lắp",$F166*0.8%,$D166="phân phối",$F166*0.2%),""))</f>
        <v>1820000</v>
      </c>
      <c r="K166" s="11" t="s">
        <v>281</v>
      </c>
    </row>
    <row r="167" spans="1:11" ht="25">
      <c r="A167" s="4" t="s">
        <v>49</v>
      </c>
      <c r="B167" s="12" t="s">
        <v>188</v>
      </c>
      <c r="C167" s="4" t="s">
        <v>8</v>
      </c>
      <c r="D167" s="4" t="s">
        <v>480</v>
      </c>
      <c r="E167" s="9" t="s">
        <v>282</v>
      </c>
      <c r="F167" s="7">
        <v>340000000</v>
      </c>
      <c r="G167" s="7">
        <f t="shared" si="24"/>
        <v>340000000</v>
      </c>
      <c r="H167" s="34">
        <f t="shared" si="25"/>
        <v>0</v>
      </c>
      <c r="I167" s="8" t="str">
        <f>IF($E167="","",IFERROR(IF(N($H167)&lt;&gt;0,"Chưa thanh toán đủ","Đã thanh toán đủ"),""))</f>
        <v>Đã thanh toán đủ</v>
      </c>
      <c r="J167" s="30" cm="1">
        <f t="array" ref="J167">IF($E167="","",IFERROR(_xlfn.IFS($D167="trọn gói",$F167*1%,$D167="tự lắp",$F167*0.8%,$D167="phân phối",$F167*0.2%),""))</f>
        <v>3400000</v>
      </c>
      <c r="K167" s="11" t="s">
        <v>283</v>
      </c>
    </row>
    <row r="168" spans="1:11" ht="25">
      <c r="A168" s="4" t="s">
        <v>49</v>
      </c>
      <c r="B168" s="12" t="s">
        <v>188</v>
      </c>
      <c r="C168" s="4" t="s">
        <v>8</v>
      </c>
      <c r="D168" s="4" t="s">
        <v>480</v>
      </c>
      <c r="E168" s="9" t="s">
        <v>284</v>
      </c>
      <c r="F168" s="7">
        <v>72000000</v>
      </c>
      <c r="G168" s="7">
        <v>5000000</v>
      </c>
      <c r="H168" s="34">
        <f t="shared" si="25"/>
        <v>67000000</v>
      </c>
      <c r="I168" s="8" t="str">
        <f>IF($E168="","",IFERROR(IF(N($H168)&lt;&gt;0,"Chưa thanh toán đủ","Đã thanh toán đủ"),""))</f>
        <v>Chưa thanh toán đủ</v>
      </c>
      <c r="J168" s="30" cm="1">
        <f t="array" ref="J168">IF($E168="","",IFERROR(_xlfn.IFS($D168="trọn gói",$F168*1%,$D168="tự lắp",$F168*0.8%,$D168="phân phối",$F168*0.2%),""))</f>
        <v>720000</v>
      </c>
      <c r="K168" s="11" t="s">
        <v>285</v>
      </c>
    </row>
    <row r="169" spans="1:11" ht="25">
      <c r="A169" s="4" t="s">
        <v>49</v>
      </c>
      <c r="B169" s="12" t="s">
        <v>188</v>
      </c>
      <c r="C169" s="4" t="s">
        <v>8</v>
      </c>
      <c r="D169" s="4" t="s">
        <v>480</v>
      </c>
      <c r="E169" s="9" t="s">
        <v>286</v>
      </c>
      <c r="F169" s="7">
        <v>70000000</v>
      </c>
      <c r="G169" s="7">
        <f>F169</f>
        <v>70000000</v>
      </c>
      <c r="H169" s="34">
        <f t="shared" si="25"/>
        <v>0</v>
      </c>
      <c r="I169" s="8" t="str">
        <f>IF($E169="","",IFERROR(IF(N($H169)&lt;&gt;0,"Chưa thanh toán đủ","Đã thanh toán đủ"),""))</f>
        <v>Đã thanh toán đủ</v>
      </c>
      <c r="J169" s="30" cm="1">
        <f t="array" ref="J169">IF($E169="","",IFERROR(_xlfn.IFS($D169="trọn gói",$F169*1%,$D169="tự lắp",$F169*0.8%,$D169="phân phối",$F169*0.2%),""))</f>
        <v>700000</v>
      </c>
      <c r="K169" s="11" t="s">
        <v>287</v>
      </c>
    </row>
    <row r="170" spans="1:11" ht="12.5">
      <c r="A170" s="4"/>
      <c r="B170" s="12" t="s">
        <v>188</v>
      </c>
      <c r="C170" s="4" t="s">
        <v>8</v>
      </c>
      <c r="D170" s="4" t="s">
        <v>480</v>
      </c>
      <c r="E170" s="9"/>
      <c r="F170" s="7">
        <f>SUM(F161:F169)</f>
        <v>1244820000</v>
      </c>
      <c r="G170" s="7">
        <f t="shared" ref="G170:G171" si="26">F170</f>
        <v>1244820000</v>
      </c>
      <c r="H170" s="34">
        <f t="shared" si="25"/>
        <v>0</v>
      </c>
      <c r="I170" s="8" t="str">
        <f>IF($E170="","",IFERROR(IF(N($H170)&lt;&gt;0,"Chưa thanh toán đủ","Đã thanh toán đủ"),""))</f>
        <v/>
      </c>
      <c r="J170" s="30" t="str" cm="1">
        <f t="array" ref="J170">IF($E170="","",IFERROR(_xlfn.IFS($D170="trọn gói",$F170*1%,$D170="tự lắp",$F170*0.8%,$D170="phân phối",$F170*0.2%),""))</f>
        <v/>
      </c>
      <c r="K170" s="11"/>
    </row>
    <row r="171" spans="1:11" ht="12.5">
      <c r="A171" s="4"/>
      <c r="B171" s="12" t="s">
        <v>188</v>
      </c>
      <c r="C171" s="4" t="s">
        <v>8</v>
      </c>
      <c r="D171" s="4" t="s">
        <v>480</v>
      </c>
      <c r="E171" s="9"/>
      <c r="F171" s="7"/>
      <c r="G171" s="7">
        <f t="shared" si="26"/>
        <v>0</v>
      </c>
      <c r="H171" s="34">
        <f t="shared" si="25"/>
        <v>0</v>
      </c>
      <c r="I171" s="8" t="str">
        <f>IF($E171="","",IFERROR(IF(N($H171)&lt;&gt;0,"Chưa thanh toán đủ","Đã thanh toán đủ"),""))</f>
        <v/>
      </c>
      <c r="J171" s="30" t="str" cm="1">
        <f t="array" ref="J171">IF($E171="","",IFERROR(_xlfn.IFS($D171="trọn gói",$F171*1%,$D171="tự lắp",$F171*0.8%,$D171="phân phối",$F171*0.2%),""))</f>
        <v/>
      </c>
      <c r="K171" s="11"/>
    </row>
    <row r="172" spans="1:11" ht="25">
      <c r="A172" s="4" t="s">
        <v>288</v>
      </c>
      <c r="B172" s="12" t="s">
        <v>188</v>
      </c>
      <c r="C172" s="4" t="s">
        <v>8</v>
      </c>
      <c r="D172" s="4" t="s">
        <v>480</v>
      </c>
      <c r="E172" s="9" t="s">
        <v>289</v>
      </c>
      <c r="F172" s="7">
        <v>122629000</v>
      </c>
      <c r="G172" s="7">
        <v>122629000</v>
      </c>
      <c r="H172" s="34">
        <f t="shared" si="25"/>
        <v>0</v>
      </c>
      <c r="I172" s="8" t="str">
        <f>IF($E172="","",IFERROR(IF(N($H172)&lt;&gt;0,"Chưa thanh toán đủ","Đã thanh toán đủ"),""))</f>
        <v>Đã thanh toán đủ</v>
      </c>
      <c r="J172" s="30" cm="1">
        <f t="array" ref="J172">IF($E172="","",IFERROR(_xlfn.IFS($D172="trọn gói",$F172*1%,$D172="tự lắp",$F172*0.8%,$D172="phân phối",$F172*0.2%),""))</f>
        <v>1226290</v>
      </c>
      <c r="K172" s="11" t="s">
        <v>290</v>
      </c>
    </row>
    <row r="173" spans="1:11" ht="37.5">
      <c r="A173" s="4" t="s">
        <v>288</v>
      </c>
      <c r="B173" s="12" t="s">
        <v>188</v>
      </c>
      <c r="C173" s="4" t="s">
        <v>8</v>
      </c>
      <c r="D173" s="4" t="s">
        <v>480</v>
      </c>
      <c r="E173" s="9" t="s">
        <v>291</v>
      </c>
      <c r="F173" s="7">
        <v>96193438</v>
      </c>
      <c r="G173" s="7">
        <v>5000000</v>
      </c>
      <c r="H173" s="34">
        <f t="shared" si="25"/>
        <v>91193438</v>
      </c>
      <c r="I173" s="8" t="str">
        <f>IF($E173="","",IFERROR(IF(N($H173)&lt;&gt;0,"Chưa thanh toán đủ","Đã thanh toán đủ"),""))</f>
        <v>Chưa thanh toán đủ</v>
      </c>
      <c r="J173" s="30" cm="1">
        <f t="array" ref="J173">IF($E173="","",IFERROR(_xlfn.IFS($D173="trọn gói",$F173*1%,$D173="tự lắp",$F173*0.8%,$D173="phân phối",$F173*0.2%),""))</f>
        <v>961934.38</v>
      </c>
      <c r="K173" s="11" t="s">
        <v>292</v>
      </c>
    </row>
    <row r="174" spans="1:11" ht="12.5">
      <c r="A174" s="4" t="s">
        <v>288</v>
      </c>
      <c r="B174" s="12" t="s">
        <v>188</v>
      </c>
      <c r="C174" s="4" t="s">
        <v>8</v>
      </c>
      <c r="D174" s="4" t="s">
        <v>480</v>
      </c>
      <c r="E174" s="9" t="s">
        <v>293</v>
      </c>
      <c r="F174" s="7">
        <v>106622000</v>
      </c>
      <c r="G174" s="7">
        <v>106622000</v>
      </c>
      <c r="H174" s="34">
        <f t="shared" si="25"/>
        <v>0</v>
      </c>
      <c r="I174" s="8" t="str">
        <f>IF($E174="","",IFERROR(IF(N($H174)&lt;&gt;0,"Chưa thanh toán đủ","Đã thanh toán đủ"),""))</f>
        <v>Đã thanh toán đủ</v>
      </c>
      <c r="J174" s="30" cm="1">
        <f t="array" ref="J174">IF($E174="","",IFERROR(_xlfn.IFS($D174="trọn gói",$F174*1%,$D174="tự lắp",$F174*0.8%,$D174="phân phối",$F174*0.2%),""))</f>
        <v>1066220</v>
      </c>
      <c r="K174" s="11" t="s">
        <v>294</v>
      </c>
    </row>
    <row r="175" spans="1:11" ht="12.5">
      <c r="A175" s="4" t="s">
        <v>288</v>
      </c>
      <c r="B175" s="12" t="s">
        <v>188</v>
      </c>
      <c r="C175" s="4" t="s">
        <v>8</v>
      </c>
      <c r="D175" s="4" t="s">
        <v>480</v>
      </c>
      <c r="E175" s="9" t="s">
        <v>295</v>
      </c>
      <c r="F175" s="7">
        <v>177350000</v>
      </c>
      <c r="G175" s="7">
        <v>177350000</v>
      </c>
      <c r="H175" s="34">
        <f t="shared" si="25"/>
        <v>0</v>
      </c>
      <c r="I175" s="8" t="str">
        <f>IF($E175="","",IFERROR(IF(N($H175)&lt;&gt;0,"Chưa thanh toán đủ","Đã thanh toán đủ"),""))</f>
        <v>Đã thanh toán đủ</v>
      </c>
      <c r="J175" s="30" cm="1">
        <f t="array" ref="J175">IF($E175="","",IFERROR(_xlfn.IFS($D175="trọn gói",$F175*1%,$D175="tự lắp",$F175*0.8%,$D175="phân phối",$F175*0.2%),""))</f>
        <v>1773500</v>
      </c>
      <c r="K175" s="11" t="s">
        <v>296</v>
      </c>
    </row>
    <row r="176" spans="1:11" ht="51">
      <c r="A176" s="4" t="s">
        <v>288</v>
      </c>
      <c r="B176" s="12" t="s">
        <v>188</v>
      </c>
      <c r="C176" s="4" t="s">
        <v>23</v>
      </c>
      <c r="D176" s="4" t="s">
        <v>480</v>
      </c>
      <c r="E176" s="9" t="s">
        <v>297</v>
      </c>
      <c r="F176" s="7">
        <v>91283300</v>
      </c>
      <c r="G176" s="7">
        <v>91283300</v>
      </c>
      <c r="H176" s="34">
        <f t="shared" si="25"/>
        <v>0</v>
      </c>
      <c r="I176" s="8" t="str">
        <f>IF($E176="","",IFERROR(IF(N($H176)&lt;&gt;0,"Chưa thanh toán đủ","Đã thanh toán đủ"),""))</f>
        <v>Đã thanh toán đủ</v>
      </c>
      <c r="J176" s="30" cm="1">
        <f t="array" ref="J176">IF($E176="","",IFERROR(_xlfn.IFS($D176="trọn gói",$F176*1%,$D176="tự lắp",$F176*0.8%,$D176="phân phối",$F176*0.2%),""))</f>
        <v>912833</v>
      </c>
      <c r="K176" s="11" t="s">
        <v>298</v>
      </c>
    </row>
    <row r="177" spans="1:11" ht="50">
      <c r="A177" s="4" t="s">
        <v>71</v>
      </c>
      <c r="B177" s="12" t="s">
        <v>188</v>
      </c>
      <c r="C177" s="4" t="s">
        <v>8</v>
      </c>
      <c r="D177" s="4" t="s">
        <v>480</v>
      </c>
      <c r="E177" s="9" t="s">
        <v>299</v>
      </c>
      <c r="F177" s="7">
        <v>135108000</v>
      </c>
      <c r="G177" s="7">
        <v>5000000</v>
      </c>
      <c r="H177" s="34">
        <f t="shared" si="25"/>
        <v>130108000</v>
      </c>
      <c r="I177" s="8" t="str">
        <f>IF($E177="","",IFERROR(IF(N($H177)&lt;&gt;0,"Chưa thanh toán đủ","Đã thanh toán đủ"),""))</f>
        <v>Chưa thanh toán đủ</v>
      </c>
      <c r="J177" s="30" cm="1">
        <f t="array" ref="J177">IF($E177="","",IFERROR(_xlfn.IFS($D177="trọn gói",$F177*1%,$D177="tự lắp",$F177*0.8%,$D177="phân phối",$F177*0.2%),""))</f>
        <v>1351080</v>
      </c>
      <c r="K177" s="11"/>
    </row>
    <row r="178" spans="1:11" ht="50">
      <c r="A178" s="4" t="s">
        <v>71</v>
      </c>
      <c r="B178" s="12" t="s">
        <v>188</v>
      </c>
      <c r="C178" s="4" t="s">
        <v>477</v>
      </c>
      <c r="D178" s="4" t="s">
        <v>479</v>
      </c>
      <c r="E178" s="9" t="s">
        <v>300</v>
      </c>
      <c r="F178" s="7">
        <v>53400000</v>
      </c>
      <c r="G178" s="7">
        <v>16800000</v>
      </c>
      <c r="H178" s="34">
        <f t="shared" si="25"/>
        <v>36600000</v>
      </c>
      <c r="I178" s="8" t="str">
        <f>IF($E178="","",IFERROR(IF(N($H178)&lt;&gt;0,"Chưa thanh toán đủ","Đã thanh toán đủ"),""))</f>
        <v>Chưa thanh toán đủ</v>
      </c>
      <c r="J178" s="30" cm="1">
        <f t="array" ref="J178">IF($E178="","",IFERROR(_xlfn.IFS($D178="trọn gói",$F178*1%,$D178="tự lắp",$F178*0.8%,$D178="phân phối",$F178*0.2%),""))</f>
        <v>427200</v>
      </c>
      <c r="K178" s="11"/>
    </row>
    <row r="179" spans="1:11" ht="50">
      <c r="A179" s="4" t="s">
        <v>71</v>
      </c>
      <c r="B179" s="12" t="s">
        <v>188</v>
      </c>
      <c r="C179" s="4" t="s">
        <v>8</v>
      </c>
      <c r="D179" s="4" t="s">
        <v>480</v>
      </c>
      <c r="E179" s="9" t="s">
        <v>301</v>
      </c>
      <c r="F179" s="7">
        <v>118830400</v>
      </c>
      <c r="G179" s="7">
        <v>5000000</v>
      </c>
      <c r="H179" s="34">
        <f t="shared" si="25"/>
        <v>113830400</v>
      </c>
      <c r="I179" s="8" t="str">
        <f>IF($E179="","",IFERROR(IF(N($H179)&lt;&gt;0,"Chưa thanh toán đủ","Đã thanh toán đủ"),""))</f>
        <v>Chưa thanh toán đủ</v>
      </c>
      <c r="J179" s="30" cm="1">
        <f t="array" ref="J179">IF($E179="","",IFERROR(_xlfn.IFS($D179="trọn gói",$F179*1%,$D179="tự lắp",$F179*0.8%,$D179="phân phối",$F179*0.2%),""))</f>
        <v>1188304</v>
      </c>
      <c r="K179" s="11"/>
    </row>
    <row r="180" spans="1:11" ht="50">
      <c r="A180" s="4" t="s">
        <v>71</v>
      </c>
      <c r="B180" s="12" t="s">
        <v>188</v>
      </c>
      <c r="C180" s="4" t="s">
        <v>8</v>
      </c>
      <c r="D180" s="4" t="s">
        <v>479</v>
      </c>
      <c r="E180" s="9" t="s">
        <v>302</v>
      </c>
      <c r="F180" s="7">
        <v>10541500</v>
      </c>
      <c r="G180" s="7">
        <v>7000000</v>
      </c>
      <c r="H180" s="34">
        <f t="shared" si="25"/>
        <v>3541500</v>
      </c>
      <c r="I180" s="8" t="str">
        <f>IF($E180="","",IFERROR(IF(N($H180)&lt;&gt;0,"Chưa thanh toán đủ","Đã thanh toán đủ"),""))</f>
        <v>Chưa thanh toán đủ</v>
      </c>
      <c r="J180" s="30" cm="1">
        <f t="array" ref="J180">IF($E180="","",IFERROR(_xlfn.IFS($D180="trọn gói",$F180*1%,$D180="tự lắp",$F180*0.8%,$D180="phân phối",$F180*0.2%),""))</f>
        <v>84332</v>
      </c>
      <c r="K180" s="11"/>
    </row>
    <row r="181" spans="1:11" ht="50">
      <c r="A181" s="4" t="s">
        <v>71</v>
      </c>
      <c r="B181" s="12" t="s">
        <v>188</v>
      </c>
      <c r="C181" s="4" t="s">
        <v>8</v>
      </c>
      <c r="D181" s="4" t="s">
        <v>148</v>
      </c>
      <c r="E181" s="9" t="s">
        <v>303</v>
      </c>
      <c r="F181" s="7">
        <v>41900000</v>
      </c>
      <c r="G181" s="7">
        <v>2000000</v>
      </c>
      <c r="H181" s="34">
        <f t="shared" si="25"/>
        <v>39900000</v>
      </c>
      <c r="I181" s="8" t="str">
        <f>IF($E181="","",IFERROR(IF(N($H181)&lt;&gt;0,"Chưa thanh toán đủ","Đã thanh toán đủ"),""))</f>
        <v>Chưa thanh toán đủ</v>
      </c>
      <c r="J181" s="30" cm="1">
        <f t="array" ref="J181">IF($E181="","",IFERROR(_xlfn.IFS($D181="trọn gói",$F181*1%,$D181="tự lắp",$F181*0.8%,$D181="phân phối",$F181*0.2%),""))</f>
        <v>83800</v>
      </c>
      <c r="K181" s="11"/>
    </row>
    <row r="182" spans="1:11" ht="25">
      <c r="A182" s="4" t="s">
        <v>49</v>
      </c>
      <c r="B182" s="12" t="s">
        <v>304</v>
      </c>
      <c r="C182" s="4" t="s">
        <v>8</v>
      </c>
      <c r="D182" s="4" t="s">
        <v>480</v>
      </c>
      <c r="E182" s="9" t="s">
        <v>305</v>
      </c>
      <c r="F182" s="7">
        <f>102000000-48000000</f>
        <v>54000000</v>
      </c>
      <c r="G182" s="7">
        <f>F182</f>
        <v>54000000</v>
      </c>
      <c r="H182" s="34">
        <f t="shared" si="25"/>
        <v>0</v>
      </c>
      <c r="I182" s="8" t="str">
        <f>IF($E182="","",IFERROR(IF(N($H182)&lt;&gt;0,"Chưa thanh toán đủ","Đã thanh toán đủ"),""))</f>
        <v>Đã thanh toán đủ</v>
      </c>
      <c r="J182" s="30" cm="1">
        <f t="array" ref="J182">IF($E182="","",IFERROR(_xlfn.IFS($D182="trọn gói",$F182*1%,$D182="tự lắp",$F182*0.8%,$D182="phân phối",$F182*0.2%),""))</f>
        <v>540000</v>
      </c>
      <c r="K182" s="11"/>
    </row>
    <row r="183" spans="1:11" ht="12.5">
      <c r="A183" s="4" t="s">
        <v>49</v>
      </c>
      <c r="B183" s="12" t="s">
        <v>304</v>
      </c>
      <c r="C183" s="4" t="s">
        <v>8</v>
      </c>
      <c r="D183" s="4" t="s">
        <v>479</v>
      </c>
      <c r="E183" s="9" t="s">
        <v>306</v>
      </c>
      <c r="F183" s="7">
        <v>42900000</v>
      </c>
      <c r="G183" s="7">
        <f t="shared" ref="G183:G191" si="27">F183</f>
        <v>42900000</v>
      </c>
      <c r="H183" s="34">
        <f t="shared" si="25"/>
        <v>0</v>
      </c>
      <c r="I183" s="8" t="str">
        <f>IF($E183="","",IFERROR(IF(N($H183)&lt;&gt;0,"Chưa thanh toán đủ","Đã thanh toán đủ"),""))</f>
        <v>Đã thanh toán đủ</v>
      </c>
      <c r="J183" s="30" cm="1">
        <f t="array" ref="J183">IF($E183="","",IFERROR(_xlfn.IFS($D183="trọn gói",$F183*1%,$D183="tự lắp",$F183*0.8%,$D183="phân phối",$F183*0.2%),""))</f>
        <v>343200</v>
      </c>
      <c r="K183" s="11"/>
    </row>
    <row r="184" spans="1:11" ht="37.5">
      <c r="A184" s="4" t="s">
        <v>49</v>
      </c>
      <c r="B184" s="12" t="s">
        <v>304</v>
      </c>
      <c r="C184" s="4" t="s">
        <v>8</v>
      </c>
      <c r="D184" s="4" t="s">
        <v>480</v>
      </c>
      <c r="E184" s="9" t="s">
        <v>307</v>
      </c>
      <c r="F184" s="7">
        <v>125000000</v>
      </c>
      <c r="G184" s="7">
        <f t="shared" si="27"/>
        <v>125000000</v>
      </c>
      <c r="H184" s="34">
        <f t="shared" si="25"/>
        <v>0</v>
      </c>
      <c r="I184" s="8" t="str">
        <f>IF($E184="","",IFERROR(IF(N($H184)&lt;&gt;0,"Chưa thanh toán đủ","Đã thanh toán đủ"),""))</f>
        <v>Đã thanh toán đủ</v>
      </c>
      <c r="J184" s="30" cm="1">
        <f t="array" ref="J184">IF($E184="","",IFERROR(_xlfn.IFS($D184="trọn gói",$F184*1%,$D184="tự lắp",$F184*0.8%,$D184="phân phối",$F184*0.2%),""))</f>
        <v>1250000</v>
      </c>
      <c r="K184" s="11" t="s">
        <v>308</v>
      </c>
    </row>
    <row r="185" spans="1:11" ht="37.5">
      <c r="A185" s="4" t="s">
        <v>49</v>
      </c>
      <c r="B185" s="12" t="s">
        <v>304</v>
      </c>
      <c r="C185" s="4" t="s">
        <v>8</v>
      </c>
      <c r="D185" s="4" t="s">
        <v>480</v>
      </c>
      <c r="E185" s="9" t="s">
        <v>309</v>
      </c>
      <c r="F185" s="7">
        <v>255000000</v>
      </c>
      <c r="G185" s="7">
        <f t="shared" si="27"/>
        <v>255000000</v>
      </c>
      <c r="H185" s="34">
        <f t="shared" si="25"/>
        <v>0</v>
      </c>
      <c r="I185" s="8" t="str">
        <f>IF($E185="","",IFERROR(IF(N($H185)&lt;&gt;0,"Chưa thanh toán đủ","Đã thanh toán đủ"),""))</f>
        <v>Đã thanh toán đủ</v>
      </c>
      <c r="J185" s="30" cm="1">
        <f t="array" ref="J185">IF($E185="","",IFERROR(_xlfn.IFS($D185="trọn gói",$F185*1%,$D185="tự lắp",$F185*0.8%,$D185="phân phối",$F185*0.2%),""))</f>
        <v>2550000</v>
      </c>
      <c r="K185" s="11"/>
    </row>
    <row r="186" spans="1:11" ht="25">
      <c r="A186" s="4" t="s">
        <v>49</v>
      </c>
      <c r="B186" s="12" t="s">
        <v>304</v>
      </c>
      <c r="C186" s="4" t="s">
        <v>477</v>
      </c>
      <c r="D186" s="4" t="s">
        <v>479</v>
      </c>
      <c r="E186" s="9" t="s">
        <v>310</v>
      </c>
      <c r="F186" s="7">
        <v>88000000</v>
      </c>
      <c r="G186" s="7">
        <f t="shared" si="27"/>
        <v>88000000</v>
      </c>
      <c r="H186" s="34">
        <f t="shared" si="25"/>
        <v>0</v>
      </c>
      <c r="I186" s="8" t="str">
        <f>IF($E186="","",IFERROR(IF(N($H186)&lt;&gt;0,"Chưa thanh toán đủ","Đã thanh toán đủ"),""))</f>
        <v>Đã thanh toán đủ</v>
      </c>
      <c r="J186" s="30" cm="1">
        <f t="array" ref="J186">IF($E186="","",IFERROR(_xlfn.IFS($D186="trọn gói",$F186*1%,$D186="tự lắp",$F186*0.8%,$D186="phân phối",$F186*0.2%),""))</f>
        <v>704000</v>
      </c>
      <c r="K186" s="11"/>
    </row>
    <row r="187" spans="1:11" ht="12.5">
      <c r="A187" s="4" t="s">
        <v>49</v>
      </c>
      <c r="B187" s="12" t="s">
        <v>304</v>
      </c>
      <c r="C187" s="4" t="s">
        <v>8</v>
      </c>
      <c r="D187" s="4" t="s">
        <v>479</v>
      </c>
      <c r="E187" s="9" t="s">
        <v>311</v>
      </c>
      <c r="F187" s="7">
        <v>18700000</v>
      </c>
      <c r="G187" s="7">
        <f t="shared" si="27"/>
        <v>18700000</v>
      </c>
      <c r="H187" s="34">
        <f t="shared" si="25"/>
        <v>0</v>
      </c>
      <c r="I187" s="8" t="str">
        <f>IF($E187="","",IFERROR(IF(N($H187)&lt;&gt;0,"Chưa thanh toán đủ","Đã thanh toán đủ"),""))</f>
        <v>Đã thanh toán đủ</v>
      </c>
      <c r="J187" s="30" cm="1">
        <f t="array" ref="J187">IF($E187="","",IFERROR(_xlfn.IFS($D187="trọn gói",$F187*1%,$D187="tự lắp",$F187*0.8%,$D187="phân phối",$F187*0.2%),""))</f>
        <v>149600</v>
      </c>
      <c r="K187" s="11"/>
    </row>
    <row r="188" spans="1:11" ht="25">
      <c r="A188" s="4" t="s">
        <v>49</v>
      </c>
      <c r="B188" s="12" t="s">
        <v>304</v>
      </c>
      <c r="C188" s="4" t="s">
        <v>477</v>
      </c>
      <c r="D188" s="4" t="s">
        <v>479</v>
      </c>
      <c r="E188" s="9" t="s">
        <v>310</v>
      </c>
      <c r="F188" s="7">
        <v>88000000</v>
      </c>
      <c r="G188" s="7">
        <f t="shared" si="27"/>
        <v>88000000</v>
      </c>
      <c r="H188" s="34">
        <f t="shared" si="25"/>
        <v>0</v>
      </c>
      <c r="I188" s="8" t="str">
        <f>IF($E188="","",IFERROR(IF(N($H188)&lt;&gt;0,"Chưa thanh toán đủ","Đã thanh toán đủ"),""))</f>
        <v>Đã thanh toán đủ</v>
      </c>
      <c r="J188" s="30" cm="1">
        <f t="array" ref="J188">IF($E188="","",IFERROR(_xlfn.IFS($D188="trọn gói",$F188*1%,$D188="tự lắp",$F188*0.8%,$D188="phân phối",$F188*0.2%),""))</f>
        <v>704000</v>
      </c>
      <c r="K188" s="11"/>
    </row>
    <row r="189" spans="1:11" ht="25">
      <c r="A189" s="4" t="s">
        <v>49</v>
      </c>
      <c r="B189" s="12" t="s">
        <v>304</v>
      </c>
      <c r="C189" s="4" t="s">
        <v>23</v>
      </c>
      <c r="D189" s="4" t="s">
        <v>480</v>
      </c>
      <c r="E189" s="9" t="s">
        <v>312</v>
      </c>
      <c r="F189" s="7">
        <v>132000000</v>
      </c>
      <c r="G189" s="7">
        <f t="shared" si="27"/>
        <v>132000000</v>
      </c>
      <c r="H189" s="34">
        <f t="shared" si="25"/>
        <v>0</v>
      </c>
      <c r="I189" s="8" t="str">
        <f>IF($E189="","",IFERROR(IF(N($H189)&lt;&gt;0,"Chưa thanh toán đủ","Đã thanh toán đủ"),""))</f>
        <v>Đã thanh toán đủ</v>
      </c>
      <c r="J189" s="30" cm="1">
        <f t="array" ref="J189">IF($E189="","",IFERROR(_xlfn.IFS($D189="trọn gói",$F189*1%,$D189="tự lắp",$F189*0.8%,$D189="phân phối",$F189*0.2%),""))</f>
        <v>1320000</v>
      </c>
      <c r="K189" s="11"/>
    </row>
    <row r="190" spans="1:11" ht="25">
      <c r="A190" s="4" t="s">
        <v>49</v>
      </c>
      <c r="B190" s="12" t="s">
        <v>304</v>
      </c>
      <c r="C190" s="4" t="s">
        <v>8</v>
      </c>
      <c r="D190" s="4" t="s">
        <v>480</v>
      </c>
      <c r="E190" s="9" t="s">
        <v>313</v>
      </c>
      <c r="F190" s="7">
        <v>63000000</v>
      </c>
      <c r="G190" s="7">
        <f t="shared" si="27"/>
        <v>63000000</v>
      </c>
      <c r="H190" s="34">
        <f t="shared" si="25"/>
        <v>0</v>
      </c>
      <c r="I190" s="8" t="str">
        <f>IF($E190="","",IFERROR(IF(N($H190)&lt;&gt;0,"Chưa thanh toán đủ","Đã thanh toán đủ"),""))</f>
        <v>Đã thanh toán đủ</v>
      </c>
      <c r="J190" s="30" cm="1">
        <f t="array" ref="J190">IF($E190="","",IFERROR(_xlfn.IFS($D190="trọn gói",$F190*1%,$D190="tự lắp",$F190*0.8%,$D190="phân phối",$F190*0.2%),""))</f>
        <v>630000</v>
      </c>
      <c r="K190" s="11" t="s">
        <v>314</v>
      </c>
    </row>
    <row r="191" spans="1:11" ht="25">
      <c r="A191" s="4" t="s">
        <v>49</v>
      </c>
      <c r="B191" s="12" t="s">
        <v>304</v>
      </c>
      <c r="C191" s="4" t="s">
        <v>477</v>
      </c>
      <c r="D191" s="4" t="s">
        <v>479</v>
      </c>
      <c r="E191" s="9" t="s">
        <v>315</v>
      </c>
      <c r="F191" s="7">
        <v>45500000</v>
      </c>
      <c r="G191" s="7">
        <f t="shared" si="27"/>
        <v>45500000</v>
      </c>
      <c r="H191" s="34"/>
      <c r="I191" s="8" t="str">
        <f>IF($E191="","",IFERROR(IF(N($H191)&lt;&gt;0,"Chưa thanh toán đủ","Đã thanh toán đủ"),""))</f>
        <v>Đã thanh toán đủ</v>
      </c>
      <c r="J191" s="30" cm="1">
        <f t="array" ref="J191">IF($E191="","",IFERROR(_xlfn.IFS($D191="trọn gói",$F191*1%,$D191="tự lắp",$F191*0.8%,$D191="phân phối",$F191*0.2%),""))</f>
        <v>364000</v>
      </c>
      <c r="K191" s="11"/>
    </row>
    <row r="192" spans="1:11" ht="12.5">
      <c r="A192" s="4" t="s">
        <v>212</v>
      </c>
      <c r="B192" s="12" t="s">
        <v>304</v>
      </c>
      <c r="C192" s="4" t="s">
        <v>8</v>
      </c>
      <c r="D192" s="4" t="s">
        <v>480</v>
      </c>
      <c r="E192" s="9" t="s">
        <v>316</v>
      </c>
      <c r="F192" s="7">
        <v>116000000</v>
      </c>
      <c r="G192" s="7">
        <v>116000000</v>
      </c>
      <c r="H192" s="34">
        <f t="shared" ref="H192:H207" si="28">F192-G192</f>
        <v>0</v>
      </c>
      <c r="I192" s="8" t="str">
        <f>IF($E192="","",IFERROR(IF(N($H192)&lt;&gt;0,"Chưa thanh toán đủ","Đã thanh toán đủ"),""))</f>
        <v>Đã thanh toán đủ</v>
      </c>
      <c r="J192" s="30" cm="1">
        <f t="array" ref="J192">IF($E192="","",IFERROR(_xlfn.IFS($D192="trọn gói",$F192*1%,$D192="tự lắp",$F192*0.8%,$D192="phân phối",$F192*0.2%),""))</f>
        <v>1160000</v>
      </c>
      <c r="K192" s="11"/>
    </row>
    <row r="193" spans="1:11" ht="25">
      <c r="A193" s="18" t="s">
        <v>62</v>
      </c>
      <c r="B193" s="12" t="s">
        <v>304</v>
      </c>
      <c r="C193" s="4" t="s">
        <v>8</v>
      </c>
      <c r="D193" s="4" t="s">
        <v>148</v>
      </c>
      <c r="E193" s="9" t="s">
        <v>317</v>
      </c>
      <c r="F193" s="20">
        <v>16640000</v>
      </c>
      <c r="G193" s="20">
        <f t="shared" ref="G193:G194" si="29">F193</f>
        <v>16640000</v>
      </c>
      <c r="H193" s="37">
        <f t="shared" si="28"/>
        <v>0</v>
      </c>
      <c r="I193" s="8" t="str">
        <f>IF($E193="","",IFERROR(IF(N($H193)&lt;&gt;0,"Chưa thanh toán đủ","Đã thanh toán đủ"),""))</f>
        <v>Đã thanh toán đủ</v>
      </c>
      <c r="J193" s="30" cm="1">
        <f t="array" ref="J193">IF($E193="","",IFERROR(_xlfn.IFS($D193="trọn gói",$F193*1%,$D193="tự lắp",$F193*0.8%,$D193="phân phối",$F193*0.2%),""))</f>
        <v>33280</v>
      </c>
      <c r="K193" s="11"/>
    </row>
    <row r="194" spans="1:11" ht="62.5">
      <c r="A194" s="18" t="s">
        <v>62</v>
      </c>
      <c r="B194" s="12" t="s">
        <v>304</v>
      </c>
      <c r="C194" s="4" t="s">
        <v>8</v>
      </c>
      <c r="D194" s="4" t="s">
        <v>479</v>
      </c>
      <c r="E194" s="9" t="s">
        <v>318</v>
      </c>
      <c r="F194" s="20">
        <v>36000000</v>
      </c>
      <c r="G194" s="20">
        <f t="shared" si="29"/>
        <v>36000000</v>
      </c>
      <c r="H194" s="37">
        <f t="shared" si="28"/>
        <v>0</v>
      </c>
      <c r="I194" s="8" t="str">
        <f>IF($E194="","",IFERROR(IF(N($H194)&lt;&gt;0,"Chưa thanh toán đủ","Đã thanh toán đủ"),""))</f>
        <v>Đã thanh toán đủ</v>
      </c>
      <c r="J194" s="30" cm="1">
        <f t="array" ref="J194">IF($E194="","",IFERROR(_xlfn.IFS($D194="trọn gói",$F194*1%,$D194="tự lắp",$F194*0.8%,$D194="phân phối",$F194*0.2%),""))</f>
        <v>288000</v>
      </c>
      <c r="K194" s="11"/>
    </row>
    <row r="195" spans="1:11" ht="75">
      <c r="A195" s="18" t="s">
        <v>62</v>
      </c>
      <c r="B195" s="12" t="s">
        <v>304</v>
      </c>
      <c r="C195" s="4" t="s">
        <v>8</v>
      </c>
      <c r="D195" s="4" t="s">
        <v>479</v>
      </c>
      <c r="E195" s="9" t="s">
        <v>319</v>
      </c>
      <c r="F195" s="20">
        <v>129523000</v>
      </c>
      <c r="G195" s="20">
        <f>80000000+49523000</f>
        <v>129523000</v>
      </c>
      <c r="H195" s="37">
        <f t="shared" si="28"/>
        <v>0</v>
      </c>
      <c r="I195" s="8" t="str">
        <f>IF($E195="","",IFERROR(IF(N($H195)&lt;&gt;0,"Chưa thanh toán đủ","Đã thanh toán đủ"),""))</f>
        <v>Đã thanh toán đủ</v>
      </c>
      <c r="J195" s="30" cm="1">
        <f t="array" ref="J195">IF($E195="","",IFERROR(_xlfn.IFS($D195="trọn gói",$F195*1%,$D195="tự lắp",$F195*0.8%,$D195="phân phối",$F195*0.2%),""))</f>
        <v>1036184</v>
      </c>
      <c r="K195" s="11"/>
    </row>
    <row r="196" spans="1:11" ht="75">
      <c r="A196" s="18" t="s">
        <v>62</v>
      </c>
      <c r="B196" s="12" t="s">
        <v>304</v>
      </c>
      <c r="C196" s="4" t="s">
        <v>8</v>
      </c>
      <c r="D196" s="4" t="s">
        <v>480</v>
      </c>
      <c r="E196" s="9" t="s">
        <v>320</v>
      </c>
      <c r="F196" s="20">
        <v>92880000</v>
      </c>
      <c r="G196" s="20">
        <f>5000000+70000000+17880000</f>
        <v>92880000</v>
      </c>
      <c r="H196" s="37">
        <f t="shared" si="28"/>
        <v>0</v>
      </c>
      <c r="I196" s="8" t="str">
        <f>IF($E196="","",IFERROR(IF(N($H196)&lt;&gt;0,"Chưa thanh toán đủ","Đã thanh toán đủ"),""))</f>
        <v>Đã thanh toán đủ</v>
      </c>
      <c r="J196" s="30" cm="1">
        <f t="array" ref="J196">IF($E196="","",IFERROR(_xlfn.IFS($D196="trọn gói",$F196*1%,$D196="tự lắp",$F196*0.8%,$D196="phân phối",$F196*0.2%),""))</f>
        <v>928800</v>
      </c>
      <c r="K196" s="11"/>
    </row>
    <row r="197" spans="1:11" ht="75">
      <c r="A197" s="18" t="s">
        <v>62</v>
      </c>
      <c r="B197" s="12" t="s">
        <v>304</v>
      </c>
      <c r="C197" s="4" t="s">
        <v>8</v>
      </c>
      <c r="D197" s="4" t="s">
        <v>148</v>
      </c>
      <c r="E197" s="9" t="s">
        <v>321</v>
      </c>
      <c r="F197" s="20">
        <v>27400000</v>
      </c>
      <c r="G197" s="20">
        <f t="shared" ref="G197:G198" si="30">F197</f>
        <v>27400000</v>
      </c>
      <c r="H197" s="37">
        <f t="shared" si="28"/>
        <v>0</v>
      </c>
      <c r="I197" s="8" t="str">
        <f>IF($E197="","",IFERROR(IF(N($H197)&lt;&gt;0,"Chưa thanh toán đủ","Đã thanh toán đủ"),""))</f>
        <v>Đã thanh toán đủ</v>
      </c>
      <c r="J197" s="30" cm="1">
        <f t="array" ref="J197">IF($E197="","",IFERROR(_xlfn.IFS($D197="trọn gói",$F197*1%,$D197="tự lắp",$F197*0.8%,$D197="phân phối",$F197*0.2%),""))</f>
        <v>54800</v>
      </c>
      <c r="K197" s="11"/>
    </row>
    <row r="198" spans="1:11" ht="62.5">
      <c r="A198" s="18" t="s">
        <v>62</v>
      </c>
      <c r="B198" s="12" t="s">
        <v>304</v>
      </c>
      <c r="C198" s="4" t="s">
        <v>8</v>
      </c>
      <c r="D198" s="4" t="s">
        <v>479</v>
      </c>
      <c r="E198" s="9" t="s">
        <v>322</v>
      </c>
      <c r="F198" s="20">
        <v>79339000</v>
      </c>
      <c r="G198" s="20">
        <f t="shared" si="30"/>
        <v>79339000</v>
      </c>
      <c r="H198" s="37">
        <f t="shared" si="28"/>
        <v>0</v>
      </c>
      <c r="I198" s="8" t="str">
        <f>IF($E198="","",IFERROR(IF(N($H198)&lt;&gt;0,"Chưa thanh toán đủ","Đã thanh toán đủ"),""))</f>
        <v>Đã thanh toán đủ</v>
      </c>
      <c r="J198" s="30" cm="1">
        <f t="array" ref="J198">IF($E198="","",IFERROR(_xlfn.IFS($D198="trọn gói",$F198*1%,$D198="tự lắp",$F198*0.8%,$D198="phân phối",$F198*0.2%),""))</f>
        <v>634712</v>
      </c>
      <c r="K198" s="11"/>
    </row>
    <row r="199" spans="1:11" ht="100">
      <c r="A199" s="18" t="s">
        <v>62</v>
      </c>
      <c r="B199" s="12" t="s">
        <v>304</v>
      </c>
      <c r="C199" s="4" t="s">
        <v>8</v>
      </c>
      <c r="D199" s="4" t="s">
        <v>480</v>
      </c>
      <c r="E199" s="9" t="s">
        <v>323</v>
      </c>
      <c r="F199" s="20">
        <v>100000000</v>
      </c>
      <c r="G199" s="20">
        <f>5000000+45000000+45000000+5000000</f>
        <v>100000000</v>
      </c>
      <c r="H199" s="37">
        <f t="shared" si="28"/>
        <v>0</v>
      </c>
      <c r="I199" s="8" t="str">
        <f>IF($E199="","",IFERROR(IF(N($H199)&lt;&gt;0,"Chưa thanh toán đủ","Đã thanh toán đủ"),""))</f>
        <v>Đã thanh toán đủ</v>
      </c>
      <c r="J199" s="30" cm="1">
        <f t="array" ref="J199">IF($E199="","",IFERROR(_xlfn.IFS($D199="trọn gói",$F199*1%,$D199="tự lắp",$F199*0.8%,$D199="phân phối",$F199*0.2%),""))</f>
        <v>1000000</v>
      </c>
      <c r="K199" s="11"/>
    </row>
    <row r="200" spans="1:11" ht="37.5">
      <c r="A200" s="18" t="s">
        <v>62</v>
      </c>
      <c r="B200" s="12" t="s">
        <v>304</v>
      </c>
      <c r="C200" s="4" t="s">
        <v>8</v>
      </c>
      <c r="D200" s="4" t="s">
        <v>480</v>
      </c>
      <c r="E200" s="9" t="s">
        <v>324</v>
      </c>
      <c r="F200" s="20">
        <v>205000000</v>
      </c>
      <c r="G200" s="20">
        <f>F200</f>
        <v>205000000</v>
      </c>
      <c r="H200" s="37">
        <f t="shared" si="28"/>
        <v>0</v>
      </c>
      <c r="I200" s="8" t="str">
        <f>IF($E200="","",IFERROR(IF(N($H200)&lt;&gt;0,"Chưa thanh toán đủ","Đã thanh toán đủ"),""))</f>
        <v>Đã thanh toán đủ</v>
      </c>
      <c r="J200" s="30" cm="1">
        <f t="array" ref="J200">IF($E200="","",IFERROR(_xlfn.IFS($D200="trọn gói",$F200*1%,$D200="tự lắp",$F200*0.8%,$D200="phân phối",$F200*0.2%),""))</f>
        <v>2050000</v>
      </c>
      <c r="K200" s="11"/>
    </row>
    <row r="201" spans="1:11" ht="75">
      <c r="A201" s="18" t="s">
        <v>62</v>
      </c>
      <c r="B201" s="12" t="s">
        <v>304</v>
      </c>
      <c r="C201" s="4" t="s">
        <v>8</v>
      </c>
      <c r="D201" s="4" t="s">
        <v>480</v>
      </c>
      <c r="E201" s="9" t="s">
        <v>325</v>
      </c>
      <c r="F201" s="20">
        <f>50164000</f>
        <v>50164000</v>
      </c>
      <c r="G201" s="20">
        <f>5000000+45164000</f>
        <v>50164000</v>
      </c>
      <c r="H201" s="37">
        <f t="shared" si="28"/>
        <v>0</v>
      </c>
      <c r="I201" s="8" t="str">
        <f>IF($E201="","",IFERROR(IF(N($H201)&lt;&gt;0,"Chưa thanh toán đủ","Đã thanh toán đủ"),""))</f>
        <v>Đã thanh toán đủ</v>
      </c>
      <c r="J201" s="30" cm="1">
        <f t="array" ref="J201">IF($E201="","",IFERROR(_xlfn.IFS($D201="trọn gói",$F201*1%,$D201="tự lắp",$F201*0.8%,$D201="phân phối",$F201*0.2%),""))</f>
        <v>501640</v>
      </c>
      <c r="K201" s="11"/>
    </row>
    <row r="202" spans="1:11" ht="42">
      <c r="A202" s="18" t="s">
        <v>62</v>
      </c>
      <c r="B202" s="12" t="s">
        <v>304</v>
      </c>
      <c r="C202" s="4" t="s">
        <v>8</v>
      </c>
      <c r="D202" s="4" t="s">
        <v>480</v>
      </c>
      <c r="E202" s="16" t="s">
        <v>326</v>
      </c>
      <c r="F202" s="20">
        <v>247000000</v>
      </c>
      <c r="G202" s="20">
        <f>5000000+242000000</f>
        <v>247000000</v>
      </c>
      <c r="H202" s="37">
        <f t="shared" si="28"/>
        <v>0</v>
      </c>
      <c r="I202" s="8" t="str">
        <f>IF($E202="","",IFERROR(IF(N($H202)&lt;&gt;0,"Chưa thanh toán đủ","Đã thanh toán đủ"),""))</f>
        <v>Đã thanh toán đủ</v>
      </c>
      <c r="J202" s="30" cm="1">
        <f t="array" ref="J202">IF($E202="","",IFERROR(_xlfn.IFS($D202="trọn gói",$F202*1%,$D202="tự lắp",$F202*0.8%,$D202="phân phối",$F202*0.2%),""))</f>
        <v>2470000</v>
      </c>
      <c r="K202" s="11"/>
    </row>
    <row r="203" spans="1:11" ht="56">
      <c r="A203" s="18" t="s">
        <v>62</v>
      </c>
      <c r="B203" s="12" t="s">
        <v>304</v>
      </c>
      <c r="C203" s="4" t="s">
        <v>8</v>
      </c>
      <c r="D203" s="4" t="s">
        <v>480</v>
      </c>
      <c r="E203" s="16" t="s">
        <v>327</v>
      </c>
      <c r="F203" s="21">
        <v>241000000</v>
      </c>
      <c r="G203" s="20">
        <f>5000000+186000000</f>
        <v>191000000</v>
      </c>
      <c r="H203" s="37">
        <f t="shared" si="28"/>
        <v>50000000</v>
      </c>
      <c r="I203" s="8" t="str">
        <f>IF($E203="","",IFERROR(IF(N($H203)&lt;&gt;0,"Chưa thanh toán đủ","Đã thanh toán đủ"),""))</f>
        <v>Chưa thanh toán đủ</v>
      </c>
      <c r="J203" s="30" cm="1">
        <f t="array" ref="J203">IF($E203="","",IFERROR(_xlfn.IFS($D203="trọn gói",$F203*1%,$D203="tự lắp",$F203*0.8%,$D203="phân phối",$F203*0.2%),""))</f>
        <v>2410000</v>
      </c>
      <c r="K203" s="11"/>
    </row>
    <row r="204" spans="1:11" ht="62.5">
      <c r="A204" s="18" t="s">
        <v>62</v>
      </c>
      <c r="B204" s="12" t="s">
        <v>304</v>
      </c>
      <c r="C204" s="4" t="s">
        <v>8</v>
      </c>
      <c r="D204" s="4" t="s">
        <v>480</v>
      </c>
      <c r="E204" s="9" t="s">
        <v>328</v>
      </c>
      <c r="F204" s="20">
        <v>560000000</v>
      </c>
      <c r="G204" s="20">
        <f>10000000+270000000</f>
        <v>280000000</v>
      </c>
      <c r="H204" s="37">
        <f t="shared" si="28"/>
        <v>280000000</v>
      </c>
      <c r="I204" s="8" t="str">
        <f>IF($E204="","",IFERROR(IF(N($H204)&lt;&gt;0,"Chưa thanh toán đủ","Đã thanh toán đủ"),""))</f>
        <v>Chưa thanh toán đủ</v>
      </c>
      <c r="J204" s="30" cm="1">
        <f t="array" ref="J204">IF($E204="","",IFERROR(_xlfn.IFS($D204="trọn gói",$F204*1%,$D204="tự lắp",$F204*0.8%,$D204="phân phối",$F204*0.2%),""))</f>
        <v>5600000</v>
      </c>
      <c r="K204" s="11"/>
    </row>
    <row r="205" spans="1:11" ht="62.5">
      <c r="A205" s="18" t="s">
        <v>62</v>
      </c>
      <c r="B205" s="12" t="s">
        <v>304</v>
      </c>
      <c r="C205" s="4" t="s">
        <v>8</v>
      </c>
      <c r="D205" s="4" t="s">
        <v>480</v>
      </c>
      <c r="E205" s="9" t="s">
        <v>329</v>
      </c>
      <c r="F205" s="20">
        <v>62143480</v>
      </c>
      <c r="G205" s="20">
        <v>62143480</v>
      </c>
      <c r="H205" s="37">
        <f t="shared" si="28"/>
        <v>0</v>
      </c>
      <c r="I205" s="8" t="str">
        <f>IF($E205="","",IFERROR(IF(N($H205)&lt;&gt;0,"Chưa thanh toán đủ","Đã thanh toán đủ"),""))</f>
        <v>Đã thanh toán đủ</v>
      </c>
      <c r="J205" s="30" cm="1">
        <f t="array" ref="J205">IF($E205="","",IFERROR(_xlfn.IFS($D205="trọn gói",$F205*1%,$D205="tự lắp",$F205*0.8%,$D205="phân phối",$F205*0.2%),""))</f>
        <v>621434.80000000005</v>
      </c>
      <c r="K205" s="11"/>
    </row>
    <row r="206" spans="1:11" ht="50">
      <c r="A206" s="18" t="s">
        <v>71</v>
      </c>
      <c r="B206" s="12" t="s">
        <v>304</v>
      </c>
      <c r="C206" s="4" t="s">
        <v>8</v>
      </c>
      <c r="D206" s="12" t="s">
        <v>480</v>
      </c>
      <c r="E206" s="9" t="s">
        <v>330</v>
      </c>
      <c r="F206" s="10">
        <v>97051632</v>
      </c>
      <c r="G206" s="12">
        <f>F206</f>
        <v>97051632</v>
      </c>
      <c r="H206" s="34">
        <f t="shared" si="28"/>
        <v>0</v>
      </c>
      <c r="I206" s="8" t="str">
        <f>IF($E206="","",IFERROR(IF(N($H206)&lt;&gt;0,"Chưa thanh toán đủ","Đã thanh toán đủ"),""))</f>
        <v>Đã thanh toán đủ</v>
      </c>
      <c r="J206" s="30" cm="1">
        <f t="array" ref="J206">IF($E206="","",IFERROR(_xlfn.IFS($D206="trọn gói",$F206*1%,$D206="tự lắp",$F206*0.8%,$D206="phân phối",$F206*0.2%),""))</f>
        <v>970516.32000000007</v>
      </c>
      <c r="K206" s="11"/>
    </row>
    <row r="207" spans="1:11" ht="37.5">
      <c r="A207" s="18" t="s">
        <v>71</v>
      </c>
      <c r="B207" s="12" t="s">
        <v>304</v>
      </c>
      <c r="C207" s="12" t="s">
        <v>8</v>
      </c>
      <c r="D207" s="12" t="s">
        <v>480</v>
      </c>
      <c r="E207" s="9" t="s">
        <v>331</v>
      </c>
      <c r="F207" s="10">
        <v>82301406</v>
      </c>
      <c r="G207" s="12">
        <v>5000000</v>
      </c>
      <c r="H207" s="34">
        <f t="shared" si="28"/>
        <v>77301406</v>
      </c>
      <c r="I207" s="8" t="str">
        <f>IF($E207="","",IFERROR(IF(N($H207)&lt;&gt;0,"Chưa thanh toán đủ","Đã thanh toán đủ"),""))</f>
        <v>Chưa thanh toán đủ</v>
      </c>
      <c r="J207" s="30" cm="1">
        <f t="array" ref="J207">IF($E207="","",IFERROR(_xlfn.IFS($D207="trọn gói",$F207*1%,$D207="tự lắp",$F207*0.8%,$D207="phân phối",$F207*0.2%),""))</f>
        <v>823014.06</v>
      </c>
      <c r="K207" s="11"/>
    </row>
    <row r="208" spans="1:11" ht="14">
      <c r="A208" s="18" t="s">
        <v>71</v>
      </c>
      <c r="B208" s="12" t="s">
        <v>304</v>
      </c>
      <c r="C208" s="12" t="s">
        <v>8</v>
      </c>
      <c r="D208" s="12" t="s">
        <v>480</v>
      </c>
      <c r="E208" s="9"/>
      <c r="F208" s="12"/>
      <c r="G208" s="12">
        <f>F208</f>
        <v>0</v>
      </c>
      <c r="H208" s="34"/>
      <c r="I208" s="8" t="str">
        <f>IF($E208="","",IFERROR(IF(N($H208)&lt;&gt;0,"Chưa thanh toán đủ","Đã thanh toán đủ"),""))</f>
        <v/>
      </c>
      <c r="J208" s="30" t="str" cm="1">
        <f t="array" ref="J208">IF($E208="","",IFERROR(_xlfn.IFS($D208="trọn gói",$F208*1%,$D208="tự lắp",$F208*0.8%,$D208="phân phối",$F208*0.2%),""))</f>
        <v/>
      </c>
      <c r="K208" s="11"/>
    </row>
    <row r="209" spans="1:11" ht="62.5">
      <c r="A209" s="18" t="s">
        <v>71</v>
      </c>
      <c r="B209" s="12" t="s">
        <v>304</v>
      </c>
      <c r="C209" s="12" t="s">
        <v>23</v>
      </c>
      <c r="D209" s="12" t="s">
        <v>480</v>
      </c>
      <c r="E209" s="9" t="s">
        <v>332</v>
      </c>
      <c r="F209" s="10">
        <v>5322620000</v>
      </c>
      <c r="G209" s="12" t="s">
        <v>333</v>
      </c>
      <c r="H209" s="34"/>
      <c r="I209" s="8" t="str">
        <f>IF($E209="","",IFERROR(IF(N($H209)&lt;&gt;0,"Chưa thanh toán đủ","Đã thanh toán đủ"),""))</f>
        <v>Đã thanh toán đủ</v>
      </c>
      <c r="J209" s="30" cm="1">
        <f t="array" ref="J209">IF($E209="","",IFERROR(_xlfn.IFS($D209="trọn gói",$F209*1%,$D209="tự lắp",$F209*0.8%,$D209="phân phối",$F209*0.2%),""))</f>
        <v>53226200</v>
      </c>
      <c r="K209" s="11"/>
    </row>
    <row r="210" spans="1:11" ht="25">
      <c r="A210" s="18" t="s">
        <v>71</v>
      </c>
      <c r="B210" s="12" t="s">
        <v>304</v>
      </c>
      <c r="C210" s="12" t="s">
        <v>8</v>
      </c>
      <c r="D210" s="12" t="s">
        <v>480</v>
      </c>
      <c r="E210" s="9" t="s">
        <v>334</v>
      </c>
      <c r="F210" s="12"/>
      <c r="G210" s="12">
        <f t="shared" ref="G210:G212" si="31">F210</f>
        <v>0</v>
      </c>
      <c r="H210" s="34"/>
      <c r="I210" s="8" t="str">
        <f>IF($E210="","",IFERROR(IF(N($H210)&lt;&gt;0,"Chưa thanh toán đủ","Đã thanh toán đủ"),""))</f>
        <v>Đã thanh toán đủ</v>
      </c>
      <c r="J210" s="30" cm="1">
        <f t="array" ref="J210">IF($E210="","",IFERROR(_xlfn.IFS($D210="trọn gói",$F210*1%,$D210="tự lắp",$F210*0.8%,$D210="phân phối",$F210*0.2%),""))</f>
        <v>0</v>
      </c>
      <c r="K210" s="11"/>
    </row>
    <row r="211" spans="1:11" ht="25">
      <c r="A211" s="18" t="s">
        <v>71</v>
      </c>
      <c r="B211" s="12" t="s">
        <v>304</v>
      </c>
      <c r="C211" s="12" t="s">
        <v>8</v>
      </c>
      <c r="D211" s="12" t="s">
        <v>480</v>
      </c>
      <c r="E211" s="9" t="s">
        <v>335</v>
      </c>
      <c r="F211" s="12"/>
      <c r="G211" s="12">
        <f t="shared" si="31"/>
        <v>0</v>
      </c>
      <c r="H211" s="34"/>
      <c r="I211" s="8" t="str">
        <f>IF($E211="","",IFERROR(IF(N($H211)&lt;&gt;0,"Chưa thanh toán đủ","Đã thanh toán đủ"),""))</f>
        <v>Đã thanh toán đủ</v>
      </c>
      <c r="J211" s="30" cm="1">
        <f t="array" ref="J211">IF($E211="","",IFERROR(_xlfn.IFS($D211="trọn gói",$F211*1%,$D211="tự lắp",$F211*0.8%,$D211="phân phối",$F211*0.2%),""))</f>
        <v>0</v>
      </c>
      <c r="K211" s="11"/>
    </row>
    <row r="212" spans="1:11" ht="37.5">
      <c r="A212" s="18" t="s">
        <v>71</v>
      </c>
      <c r="B212" s="12" t="s">
        <v>304</v>
      </c>
      <c r="C212" s="12" t="s">
        <v>8</v>
      </c>
      <c r="D212" s="12" t="s">
        <v>480</v>
      </c>
      <c r="E212" s="9" t="s">
        <v>336</v>
      </c>
      <c r="F212" s="10">
        <v>309464832</v>
      </c>
      <c r="G212" s="12">
        <f t="shared" si="31"/>
        <v>309464832</v>
      </c>
      <c r="H212" s="34"/>
      <c r="I212" s="8" t="str">
        <f>IF($E212="","",IFERROR(IF(N($H212)&lt;&gt;0,"Chưa thanh toán đủ","Đã thanh toán đủ"),""))</f>
        <v>Đã thanh toán đủ</v>
      </c>
      <c r="J212" s="30" cm="1">
        <f t="array" ref="J212">IF($E212="","",IFERROR(_xlfn.IFS($D212="trọn gói",$F212*1%,$D212="tự lắp",$F212*0.8%,$D212="phân phối",$F212*0.2%),""))</f>
        <v>3094648.32</v>
      </c>
      <c r="K212" s="11"/>
    </row>
    <row r="213" spans="1:11" ht="137.5">
      <c r="A213" s="4" t="s">
        <v>6</v>
      </c>
      <c r="B213" s="12" t="s">
        <v>304</v>
      </c>
      <c r="C213" s="4" t="s">
        <v>8</v>
      </c>
      <c r="D213" s="4" t="s">
        <v>480</v>
      </c>
      <c r="E213" s="9" t="s">
        <v>337</v>
      </c>
      <c r="F213" s="7">
        <v>160000000</v>
      </c>
      <c r="G213" s="7">
        <v>160000000</v>
      </c>
      <c r="H213" s="34">
        <f>F213-G213</f>
        <v>0</v>
      </c>
      <c r="I213" s="8" t="str">
        <f>IF($E213="","",IFERROR(IF(N($H213)&lt;&gt;0,"Chưa thanh toán đủ","Đã thanh toán đủ"),""))</f>
        <v>Đã thanh toán đủ</v>
      </c>
      <c r="J213" s="30" cm="1">
        <f t="array" ref="J213">IF($E213="","",IFERROR(_xlfn.IFS($D213="trọn gói",$F213*1%,$D213="tự lắp",$F213*0.8%,$D213="phân phối",$F213*0.2%),""))</f>
        <v>1600000</v>
      </c>
      <c r="K213" s="11" t="s">
        <v>338</v>
      </c>
    </row>
    <row r="214" spans="1:11" ht="100">
      <c r="A214" s="4" t="s">
        <v>6</v>
      </c>
      <c r="B214" s="12" t="s">
        <v>304</v>
      </c>
      <c r="C214" s="4" t="s">
        <v>8</v>
      </c>
      <c r="D214" s="4" t="s">
        <v>480</v>
      </c>
      <c r="E214" s="9" t="s">
        <v>339</v>
      </c>
      <c r="F214" s="7">
        <v>122000000</v>
      </c>
      <c r="G214" s="7">
        <v>122000000</v>
      </c>
      <c r="H214" s="34"/>
      <c r="I214" s="8" t="str">
        <f>IF($E214="","",IFERROR(IF(N($H214)&lt;&gt;0,"Chưa thanh toán đủ","Đã thanh toán đủ"),""))</f>
        <v>Đã thanh toán đủ</v>
      </c>
      <c r="J214" s="30" cm="1">
        <f t="array" ref="J214">IF($E214="","",IFERROR(_xlfn.IFS($D214="trọn gói",$F214*1%,$D214="tự lắp",$F214*0.8%,$D214="phân phối",$F214*0.2%),""))</f>
        <v>1220000</v>
      </c>
      <c r="K214" s="11" t="s">
        <v>340</v>
      </c>
    </row>
    <row r="215" spans="1:11" ht="37.5">
      <c r="A215" s="4" t="s">
        <v>6</v>
      </c>
      <c r="B215" s="12" t="s">
        <v>304</v>
      </c>
      <c r="C215" s="4" t="s">
        <v>8</v>
      </c>
      <c r="D215" s="4" t="s">
        <v>479</v>
      </c>
      <c r="E215" s="9" t="s">
        <v>341</v>
      </c>
      <c r="F215" s="7">
        <v>42500000</v>
      </c>
      <c r="G215" s="7">
        <f t="shared" ref="G215:G219" si="32">F215</f>
        <v>42500000</v>
      </c>
      <c r="H215" s="34"/>
      <c r="I215" s="8" t="str">
        <f>IF($E215="","",IFERROR(IF(N($H215)&lt;&gt;0,"Chưa thanh toán đủ","Đã thanh toán đủ"),""))</f>
        <v>Đã thanh toán đủ</v>
      </c>
      <c r="J215" s="30" cm="1">
        <f t="array" ref="J215">IF($E215="","",IFERROR(_xlfn.IFS($D215="trọn gói",$F215*1%,$D215="tự lắp",$F215*0.8%,$D215="phân phối",$F215*0.2%),""))</f>
        <v>340000</v>
      </c>
      <c r="K215" s="11" t="s">
        <v>342</v>
      </c>
    </row>
    <row r="216" spans="1:11" ht="25">
      <c r="A216" s="4" t="s">
        <v>6</v>
      </c>
      <c r="B216" s="12" t="s">
        <v>304</v>
      </c>
      <c r="C216" s="4" t="s">
        <v>8</v>
      </c>
      <c r="D216" s="4" t="s">
        <v>479</v>
      </c>
      <c r="E216" s="9" t="s">
        <v>343</v>
      </c>
      <c r="F216" s="7">
        <v>11600000</v>
      </c>
      <c r="G216" s="7">
        <f t="shared" si="32"/>
        <v>11600000</v>
      </c>
      <c r="H216" s="34"/>
      <c r="I216" s="8" t="str">
        <f>IF($E216="","",IFERROR(IF(N($H216)&lt;&gt;0,"Chưa thanh toán đủ","Đã thanh toán đủ"),""))</f>
        <v>Đã thanh toán đủ</v>
      </c>
      <c r="J216" s="30" cm="1">
        <f t="array" ref="J216">IF($E216="","",IFERROR(_xlfn.IFS($D216="trọn gói",$F216*1%,$D216="tự lắp",$F216*0.8%,$D216="phân phối",$F216*0.2%),""))</f>
        <v>92800</v>
      </c>
      <c r="K216" s="11" t="s">
        <v>344</v>
      </c>
    </row>
    <row r="217" spans="1:11" ht="62.5">
      <c r="A217" s="4" t="s">
        <v>6</v>
      </c>
      <c r="B217" s="12" t="s">
        <v>304</v>
      </c>
      <c r="C217" s="4" t="s">
        <v>8</v>
      </c>
      <c r="D217" s="4" t="s">
        <v>479</v>
      </c>
      <c r="E217" s="9" t="s">
        <v>345</v>
      </c>
      <c r="F217" s="7">
        <v>89299000</v>
      </c>
      <c r="G217" s="7">
        <f t="shared" si="32"/>
        <v>89299000</v>
      </c>
      <c r="H217" s="34"/>
      <c r="I217" s="8" t="str">
        <f>IF($E217="","",IFERROR(IF(N($H217)&lt;&gt;0,"Chưa thanh toán đủ","Đã thanh toán đủ"),""))</f>
        <v>Đã thanh toán đủ</v>
      </c>
      <c r="J217" s="30" cm="1">
        <f t="array" ref="J217">IF($E217="","",IFERROR(_xlfn.IFS($D217="trọn gói",$F217*1%,$D217="tự lắp",$F217*0.8%,$D217="phân phối",$F217*0.2%),""))</f>
        <v>714392</v>
      </c>
      <c r="K217" s="11" t="s">
        <v>346</v>
      </c>
    </row>
    <row r="218" spans="1:11" ht="37.5">
      <c r="A218" s="4" t="s">
        <v>6</v>
      </c>
      <c r="B218" s="12" t="s">
        <v>304</v>
      </c>
      <c r="C218" s="4" t="s">
        <v>8</v>
      </c>
      <c r="D218" s="4" t="s">
        <v>479</v>
      </c>
      <c r="E218" s="9" t="s">
        <v>347</v>
      </c>
      <c r="F218" s="7">
        <v>76000000</v>
      </c>
      <c r="G218" s="7">
        <f t="shared" si="32"/>
        <v>76000000</v>
      </c>
      <c r="H218" s="34"/>
      <c r="I218" s="8" t="str">
        <f>IF($E218="","",IFERROR(IF(N($H218)&lt;&gt;0,"Chưa thanh toán đủ","Đã thanh toán đủ"),""))</f>
        <v>Đã thanh toán đủ</v>
      </c>
      <c r="J218" s="30" cm="1">
        <f t="array" ref="J218">IF($E218="","",IFERROR(_xlfn.IFS($D218="trọn gói",$F218*1%,$D218="tự lắp",$F218*0.8%,$D218="phân phối",$F218*0.2%),""))</f>
        <v>608000</v>
      </c>
      <c r="K218" s="11" t="s">
        <v>348</v>
      </c>
    </row>
    <row r="219" spans="1:11" ht="25">
      <c r="A219" s="4" t="s">
        <v>6</v>
      </c>
      <c r="B219" s="12" t="s">
        <v>304</v>
      </c>
      <c r="C219" s="4" t="s">
        <v>8</v>
      </c>
      <c r="D219" s="4" t="s">
        <v>479</v>
      </c>
      <c r="E219" s="9" t="s">
        <v>349</v>
      </c>
      <c r="F219" s="7">
        <v>9500000</v>
      </c>
      <c r="G219" s="7">
        <f t="shared" si="32"/>
        <v>9500000</v>
      </c>
      <c r="H219" s="34"/>
      <c r="I219" s="8" t="str">
        <f>IF($E219="","",IFERROR(IF(N($H219)&lt;&gt;0,"Chưa thanh toán đủ","Đã thanh toán đủ"),""))</f>
        <v>Đã thanh toán đủ</v>
      </c>
      <c r="J219" s="30" cm="1">
        <f t="array" ref="J219">IF($E219="","",IFERROR(_xlfn.IFS($D219="trọn gói",$F219*1%,$D219="tự lắp",$F219*0.8%,$D219="phân phối",$F219*0.2%),""))</f>
        <v>76000</v>
      </c>
      <c r="K219" s="11"/>
    </row>
    <row r="220" spans="1:11" ht="37.5">
      <c r="A220" s="4" t="s">
        <v>6</v>
      </c>
      <c r="B220" s="12" t="s">
        <v>304</v>
      </c>
      <c r="C220" s="4" t="s">
        <v>8</v>
      </c>
      <c r="D220" s="4" t="s">
        <v>479</v>
      </c>
      <c r="E220" s="9" t="s">
        <v>350</v>
      </c>
      <c r="F220" s="7">
        <v>126300000</v>
      </c>
      <c r="G220" s="7">
        <v>50000000</v>
      </c>
      <c r="H220" s="34"/>
      <c r="I220" s="8" t="str">
        <f>IF($E220="","",IFERROR(IF(N($H220)&lt;&gt;0,"Chưa thanh toán đủ","Đã thanh toán đủ"),""))</f>
        <v>Đã thanh toán đủ</v>
      </c>
      <c r="J220" s="30" cm="1">
        <f t="array" ref="J220">IF($E220="","",IFERROR(_xlfn.IFS($D220="trọn gói",$F220*1%,$D220="tự lắp",$F220*0.8%,$D220="phân phối",$F220*0.2%),""))</f>
        <v>1010400</v>
      </c>
      <c r="K220" s="11" t="s">
        <v>351</v>
      </c>
    </row>
    <row r="221" spans="1:11" ht="50">
      <c r="A221" s="4" t="s">
        <v>6</v>
      </c>
      <c r="B221" s="12" t="s">
        <v>304</v>
      </c>
      <c r="C221" s="4" t="s">
        <v>8</v>
      </c>
      <c r="D221" s="4" t="s">
        <v>479</v>
      </c>
      <c r="E221" s="9" t="s">
        <v>352</v>
      </c>
      <c r="F221" s="7">
        <v>81617500</v>
      </c>
      <c r="G221" s="7">
        <v>5000000</v>
      </c>
      <c r="H221" s="34"/>
      <c r="I221" s="8" t="str">
        <f>IF($E221="","",IFERROR(IF(N($H221)&lt;&gt;0,"Chưa thanh toán đủ","Đã thanh toán đủ"),""))</f>
        <v>Đã thanh toán đủ</v>
      </c>
      <c r="J221" s="30" cm="1">
        <f t="array" ref="J221">IF($E221="","",IFERROR(_xlfn.IFS($D221="trọn gói",$F221*1%,$D221="tự lắp",$F221*0.8%,$D221="phân phối",$F221*0.2%),""))</f>
        <v>652940</v>
      </c>
      <c r="K221" s="11" t="s">
        <v>353</v>
      </c>
    </row>
    <row r="222" spans="1:11" ht="37.5">
      <c r="A222" s="4" t="s">
        <v>6</v>
      </c>
      <c r="B222" s="12" t="s">
        <v>304</v>
      </c>
      <c r="C222" s="4" t="s">
        <v>8</v>
      </c>
      <c r="D222" s="4" t="s">
        <v>479</v>
      </c>
      <c r="E222" s="9" t="s">
        <v>354</v>
      </c>
      <c r="F222" s="7">
        <v>63334250</v>
      </c>
      <c r="G222" s="7">
        <f t="shared" ref="G222:G224" si="33">F222</f>
        <v>63334250</v>
      </c>
      <c r="H222" s="34"/>
      <c r="I222" s="8" t="str">
        <f>IF($E222="","",IFERROR(IF(N($H222)&lt;&gt;0,"Chưa thanh toán đủ","Đã thanh toán đủ"),""))</f>
        <v>Đã thanh toán đủ</v>
      </c>
      <c r="J222" s="30" cm="1">
        <f t="array" ref="J222">IF($E222="","",IFERROR(_xlfn.IFS($D222="trọn gói",$F222*1%,$D222="tự lắp",$F222*0.8%,$D222="phân phối",$F222*0.2%),""))</f>
        <v>506674</v>
      </c>
      <c r="K222" s="11" t="s">
        <v>355</v>
      </c>
    </row>
    <row r="223" spans="1:11" ht="62.5">
      <c r="A223" s="4" t="s">
        <v>6</v>
      </c>
      <c r="B223" s="12" t="s">
        <v>304</v>
      </c>
      <c r="C223" s="4" t="s">
        <v>8</v>
      </c>
      <c r="D223" s="4" t="s">
        <v>479</v>
      </c>
      <c r="E223" s="9" t="s">
        <v>356</v>
      </c>
      <c r="F223" s="7">
        <v>80771500</v>
      </c>
      <c r="G223" s="7">
        <f t="shared" si="33"/>
        <v>80771500</v>
      </c>
      <c r="H223" s="34"/>
      <c r="I223" s="8" t="str">
        <f>IF($E223="","",IFERROR(IF(N($H223)&lt;&gt;0,"Chưa thanh toán đủ","Đã thanh toán đủ"),""))</f>
        <v>Đã thanh toán đủ</v>
      </c>
      <c r="J223" s="30" cm="1">
        <f t="array" ref="J223">IF($E223="","",IFERROR(_xlfn.IFS($D223="trọn gói",$F223*1%,$D223="tự lắp",$F223*0.8%,$D223="phân phối",$F223*0.2%),""))</f>
        <v>646172</v>
      </c>
      <c r="K223" s="11"/>
    </row>
    <row r="224" spans="1:11" ht="37.5">
      <c r="A224" s="4" t="s">
        <v>6</v>
      </c>
      <c r="B224" s="12" t="s">
        <v>304</v>
      </c>
      <c r="C224" s="4" t="s">
        <v>8</v>
      </c>
      <c r="D224" s="4" t="s">
        <v>479</v>
      </c>
      <c r="E224" s="9" t="s">
        <v>357</v>
      </c>
      <c r="F224" s="7">
        <v>5550000</v>
      </c>
      <c r="G224" s="7">
        <f t="shared" si="33"/>
        <v>5550000</v>
      </c>
      <c r="H224" s="34"/>
      <c r="I224" s="8" t="str">
        <f>IF($E224="","",IFERROR(IF(N($H224)&lt;&gt;0,"Chưa thanh toán đủ","Đã thanh toán đủ"),""))</f>
        <v>Đã thanh toán đủ</v>
      </c>
      <c r="J224" s="30" cm="1">
        <f t="array" ref="J224">IF($E224="","",IFERROR(_xlfn.IFS($D224="trọn gói",$F224*1%,$D224="tự lắp",$F224*0.8%,$D224="phân phối",$F224*0.2%),""))</f>
        <v>44400</v>
      </c>
      <c r="K224" s="11"/>
    </row>
    <row r="225" spans="1:11" ht="50">
      <c r="A225" s="4" t="s">
        <v>6</v>
      </c>
      <c r="B225" s="12" t="s">
        <v>304</v>
      </c>
      <c r="C225" s="4" t="s">
        <v>8</v>
      </c>
      <c r="D225" s="4" t="s">
        <v>479</v>
      </c>
      <c r="E225" s="9" t="s">
        <v>358</v>
      </c>
      <c r="F225" s="7">
        <v>71040000</v>
      </c>
      <c r="G225" s="7">
        <v>33040000</v>
      </c>
      <c r="H225" s="34"/>
      <c r="I225" s="8" t="str">
        <f>IF($E225="","",IFERROR(IF(N($H225)&lt;&gt;0,"Chưa thanh toán đủ","Đã thanh toán đủ"),""))</f>
        <v>Đã thanh toán đủ</v>
      </c>
      <c r="J225" s="30" cm="1">
        <f t="array" ref="J225">IF($E225="","",IFERROR(_xlfn.IFS($D225="trọn gói",$F225*1%,$D225="tự lắp",$F225*0.8%,$D225="phân phối",$F225*0.2%),""))</f>
        <v>568320</v>
      </c>
      <c r="K225" s="11"/>
    </row>
    <row r="226" spans="1:11" ht="37.5">
      <c r="A226" s="4" t="s">
        <v>6</v>
      </c>
      <c r="B226" s="12" t="s">
        <v>304</v>
      </c>
      <c r="C226" s="4" t="s">
        <v>8</v>
      </c>
      <c r="D226" s="4" t="s">
        <v>479</v>
      </c>
      <c r="E226" s="9" t="s">
        <v>359</v>
      </c>
      <c r="F226" s="7">
        <v>73320300</v>
      </c>
      <c r="G226" s="7">
        <f t="shared" ref="G226:G227" si="34">F226</f>
        <v>73320300</v>
      </c>
      <c r="H226" s="34"/>
      <c r="I226" s="8" t="str">
        <f>IF($E226="","",IFERROR(IF(N($H226)&lt;&gt;0,"Chưa thanh toán đủ","Đã thanh toán đủ"),""))</f>
        <v>Đã thanh toán đủ</v>
      </c>
      <c r="J226" s="30" cm="1">
        <f t="array" ref="J226">IF($E226="","",IFERROR(_xlfn.IFS($D226="trọn gói",$F226*1%,$D226="tự lắp",$F226*0.8%,$D226="phân phối",$F226*0.2%),""))</f>
        <v>586562.4</v>
      </c>
      <c r="K226" s="11" t="s">
        <v>360</v>
      </c>
    </row>
    <row r="227" spans="1:11" ht="100">
      <c r="A227" s="4" t="s">
        <v>6</v>
      </c>
      <c r="B227" s="12" t="s">
        <v>304</v>
      </c>
      <c r="C227" s="4" t="s">
        <v>8</v>
      </c>
      <c r="D227" s="4" t="s">
        <v>480</v>
      </c>
      <c r="E227" s="9" t="s">
        <v>361</v>
      </c>
      <c r="F227" s="7">
        <v>126599600</v>
      </c>
      <c r="G227" s="7">
        <f t="shared" si="34"/>
        <v>126599600</v>
      </c>
      <c r="H227" s="34"/>
      <c r="I227" s="8" t="str">
        <f>IF($E227="","",IFERROR(IF(N($H227)&lt;&gt;0,"Chưa thanh toán đủ","Đã thanh toán đủ"),""))</f>
        <v>Đã thanh toán đủ</v>
      </c>
      <c r="J227" s="30" cm="1">
        <f t="array" ref="J227">IF($E227="","",IFERROR(_xlfn.IFS($D227="trọn gói",$F227*1%,$D227="tự lắp",$F227*0.8%,$D227="phân phối",$F227*0.2%),""))</f>
        <v>1265996</v>
      </c>
      <c r="K227" s="11" t="s">
        <v>362</v>
      </c>
    </row>
    <row r="228" spans="1:11" ht="75">
      <c r="A228" s="4" t="s">
        <v>6</v>
      </c>
      <c r="B228" s="12" t="s">
        <v>304</v>
      </c>
      <c r="C228" s="4" t="s">
        <v>8</v>
      </c>
      <c r="D228" s="4" t="s">
        <v>480</v>
      </c>
      <c r="E228" s="9" t="s">
        <v>363</v>
      </c>
      <c r="F228" s="7">
        <v>130000000</v>
      </c>
      <c r="G228" s="7">
        <v>130000000</v>
      </c>
      <c r="H228" s="34"/>
      <c r="I228" s="8" t="str">
        <f>IF($E228="","",IFERROR(IF(N($H228)&lt;&gt;0,"Chưa thanh toán đủ","Đã thanh toán đủ"),""))</f>
        <v>Đã thanh toán đủ</v>
      </c>
      <c r="J228" s="30" cm="1">
        <f t="array" ref="J228">IF($E228="","",IFERROR(_xlfn.IFS($D228="trọn gói",$F228*1%,$D228="tự lắp",$F228*0.8%,$D228="phân phối",$F228*0.2%),""))</f>
        <v>1300000</v>
      </c>
      <c r="K228" s="11" t="s">
        <v>364</v>
      </c>
    </row>
    <row r="229" spans="1:11" ht="62.5">
      <c r="A229" s="4" t="s">
        <v>6</v>
      </c>
      <c r="B229" s="12" t="s">
        <v>304</v>
      </c>
      <c r="C229" s="4" t="s">
        <v>8</v>
      </c>
      <c r="D229" s="4" t="s">
        <v>480</v>
      </c>
      <c r="E229" s="9" t="s">
        <v>365</v>
      </c>
      <c r="F229" s="7">
        <v>65849000</v>
      </c>
      <c r="G229" s="7">
        <v>2000000</v>
      </c>
      <c r="H229" s="34"/>
      <c r="I229" s="8" t="str">
        <f>IF($E229="","",IFERROR(IF(N($H229)&lt;&gt;0,"Chưa thanh toán đủ","Đã thanh toán đủ"),""))</f>
        <v>Đã thanh toán đủ</v>
      </c>
      <c r="J229" s="30" cm="1">
        <f t="array" ref="J229">IF($E229="","",IFERROR(_xlfn.IFS($D229="trọn gói",$F229*1%,$D229="tự lắp",$F229*0.8%,$D229="phân phối",$F229*0.2%),""))</f>
        <v>658490</v>
      </c>
      <c r="K229" s="11" t="s">
        <v>366</v>
      </c>
    </row>
    <row r="230" spans="1:11" ht="62.5">
      <c r="A230" s="4" t="s">
        <v>6</v>
      </c>
      <c r="B230" s="12" t="s">
        <v>304</v>
      </c>
      <c r="C230" s="4" t="s">
        <v>8</v>
      </c>
      <c r="D230" s="4" t="s">
        <v>480</v>
      </c>
      <c r="E230" s="9" t="s">
        <v>367</v>
      </c>
      <c r="F230" s="7">
        <v>30696953</v>
      </c>
      <c r="G230" s="7">
        <f t="shared" ref="G230:G231" si="35">F230</f>
        <v>30696953</v>
      </c>
      <c r="H230" s="34"/>
      <c r="I230" s="8" t="str">
        <f>IF($E230="","",IFERROR(IF(N($H230)&lt;&gt;0,"Chưa thanh toán đủ","Đã thanh toán đủ"),""))</f>
        <v>Đã thanh toán đủ</v>
      </c>
      <c r="J230" s="30" cm="1">
        <f t="array" ref="J230">IF($E230="","",IFERROR(_xlfn.IFS($D230="trọn gói",$F230*1%,$D230="tự lắp",$F230*0.8%,$D230="phân phối",$F230*0.2%),""))</f>
        <v>306969.53000000003</v>
      </c>
      <c r="K230" s="11" t="s">
        <v>368</v>
      </c>
    </row>
    <row r="231" spans="1:11" ht="75">
      <c r="A231" s="4" t="s">
        <v>6</v>
      </c>
      <c r="B231" s="12" t="s">
        <v>304</v>
      </c>
      <c r="C231" s="4" t="s">
        <v>8</v>
      </c>
      <c r="D231" s="4" t="s">
        <v>479</v>
      </c>
      <c r="E231" s="9" t="s">
        <v>369</v>
      </c>
      <c r="F231" s="7">
        <v>95354000</v>
      </c>
      <c r="G231" s="7">
        <f t="shared" si="35"/>
        <v>95354000</v>
      </c>
      <c r="H231" s="34"/>
      <c r="I231" s="8" t="str">
        <f>IF($E231="","",IFERROR(IF(N($H231)&lt;&gt;0,"Chưa thanh toán đủ","Đã thanh toán đủ"),""))</f>
        <v>Đã thanh toán đủ</v>
      </c>
      <c r="J231" s="30" cm="1">
        <f t="array" ref="J231">IF($E231="","",IFERROR(_xlfn.IFS($D231="trọn gói",$F231*1%,$D231="tự lắp",$F231*0.8%,$D231="phân phối",$F231*0.2%),""))</f>
        <v>762832</v>
      </c>
      <c r="K231" s="11" t="s">
        <v>370</v>
      </c>
    </row>
    <row r="232" spans="1:11" ht="87.5">
      <c r="A232" s="4" t="s">
        <v>288</v>
      </c>
      <c r="B232" s="12" t="s">
        <v>304</v>
      </c>
      <c r="C232" s="4" t="s">
        <v>8</v>
      </c>
      <c r="D232" s="4" t="s">
        <v>480</v>
      </c>
      <c r="E232" s="9" t="s">
        <v>371</v>
      </c>
      <c r="F232" s="7">
        <v>102130000</v>
      </c>
      <c r="G232" s="7">
        <v>102130000</v>
      </c>
      <c r="H232" s="34"/>
      <c r="I232" s="8" t="str">
        <f>IF($E232="","",IFERROR(IF(N($H232)&lt;&gt;0,"Chưa thanh toán đủ","Đã thanh toán đủ"),""))</f>
        <v>Đã thanh toán đủ</v>
      </c>
      <c r="J232" s="30" cm="1">
        <f t="array" ref="J232">IF($E232="","",IFERROR(_xlfn.IFS($D232="trọn gói",$F232*1%,$D232="tự lắp",$F232*0.8%,$D232="phân phối",$F232*0.2%),""))</f>
        <v>1021300</v>
      </c>
      <c r="K232" s="11" t="s">
        <v>372</v>
      </c>
    </row>
    <row r="233" spans="1:11" ht="75">
      <c r="A233" s="4" t="s">
        <v>288</v>
      </c>
      <c r="B233" s="12" t="s">
        <v>304</v>
      </c>
      <c r="C233" s="4" t="s">
        <v>8</v>
      </c>
      <c r="D233" s="4" t="s">
        <v>480</v>
      </c>
      <c r="E233" s="9" t="s">
        <v>373</v>
      </c>
      <c r="F233" s="7">
        <v>92488000</v>
      </c>
      <c r="G233" s="7">
        <v>90000000</v>
      </c>
      <c r="H233" s="34"/>
      <c r="I233" s="8" t="str">
        <f>IF($E233="","",IFERROR(IF(N($H233)&lt;&gt;0,"Chưa thanh toán đủ","Đã thanh toán đủ"),""))</f>
        <v>Đã thanh toán đủ</v>
      </c>
      <c r="J233" s="30" cm="1">
        <f t="array" ref="J233">IF($E233="","",IFERROR(_xlfn.IFS($D233="trọn gói",$F233*1%,$D233="tự lắp",$F233*0.8%,$D233="phân phối",$F233*0.2%),""))</f>
        <v>924880</v>
      </c>
      <c r="K233" s="11" t="s">
        <v>374</v>
      </c>
    </row>
    <row r="234" spans="1:11" ht="100">
      <c r="A234" s="4" t="s">
        <v>288</v>
      </c>
      <c r="B234" s="12" t="s">
        <v>304</v>
      </c>
      <c r="C234" s="4" t="s">
        <v>8</v>
      </c>
      <c r="D234" s="4" t="s">
        <v>480</v>
      </c>
      <c r="E234" s="9" t="s">
        <v>375</v>
      </c>
      <c r="F234" s="7">
        <v>167150000</v>
      </c>
      <c r="G234" s="7">
        <v>167150000</v>
      </c>
      <c r="H234" s="33"/>
      <c r="I234" s="8" t="str">
        <f>IF($E234="","",IFERROR(IF(N($H234)&lt;&gt;0,"Chưa thanh toán đủ","Đã thanh toán đủ"),""))</f>
        <v>Đã thanh toán đủ</v>
      </c>
      <c r="J234" s="30" cm="1">
        <f t="array" ref="J234">IF($E234="","",IFERROR(_xlfn.IFS($D234="trọn gói",$F234*1%,$D234="tự lắp",$F234*0.8%,$D234="phân phối",$F234*0.2%),""))</f>
        <v>1671500</v>
      </c>
      <c r="K234" s="11" t="s">
        <v>376</v>
      </c>
    </row>
    <row r="235" spans="1:11" ht="87.5">
      <c r="A235" s="4" t="s">
        <v>288</v>
      </c>
      <c r="B235" s="12" t="s">
        <v>304</v>
      </c>
      <c r="C235" s="4" t="s">
        <v>8</v>
      </c>
      <c r="D235" s="4" t="s">
        <v>480</v>
      </c>
      <c r="E235" s="9" t="s">
        <v>377</v>
      </c>
      <c r="F235" s="7">
        <v>164000000</v>
      </c>
      <c r="G235" s="7">
        <v>164000000</v>
      </c>
      <c r="H235" s="33"/>
      <c r="I235" s="8" t="str">
        <f>IF($E235="","",IFERROR(IF(N($H235)&lt;&gt;0,"Chưa thanh toán đủ","Đã thanh toán đủ"),""))</f>
        <v>Đã thanh toán đủ</v>
      </c>
      <c r="J235" s="30" cm="1">
        <f t="array" ref="J235">IF($E235="","",IFERROR(_xlfn.IFS($D235="trọn gói",$F235*1%,$D235="tự lắp",$F235*0.8%,$D235="phân phối",$F235*0.2%),""))</f>
        <v>1640000</v>
      </c>
      <c r="K235" s="11"/>
    </row>
    <row r="236" spans="1:11" ht="12.5">
      <c r="A236" s="4"/>
      <c r="B236" s="12" t="s">
        <v>304</v>
      </c>
      <c r="C236" s="4" t="s">
        <v>8</v>
      </c>
      <c r="D236" s="4" t="s">
        <v>480</v>
      </c>
      <c r="E236" s="9"/>
      <c r="F236" s="7">
        <f>SUM(F182:F235)</f>
        <v>10673727453</v>
      </c>
      <c r="G236" s="7">
        <f>F236</f>
        <v>10673727453</v>
      </c>
      <c r="H236" s="34"/>
      <c r="I236" s="8" t="str">
        <f>IF($E236="","",IFERROR(IF(N($H236)&lt;&gt;0,"Chưa thanh toán đủ","Đã thanh toán đủ"),""))</f>
        <v/>
      </c>
      <c r="J236" s="30" t="str" cm="1">
        <f t="array" ref="J236">IF($E236="","",IFERROR(_xlfn.IFS($D236="trọn gói",$F236*1%,$D236="tự lắp",$F236*0.8%,$D236="phân phối",$F236*0.2%),""))</f>
        <v/>
      </c>
      <c r="K236" s="11"/>
    </row>
    <row r="237" spans="1:11" ht="50">
      <c r="A237" s="4" t="s">
        <v>62</v>
      </c>
      <c r="B237" s="12" t="s">
        <v>378</v>
      </c>
      <c r="C237" s="4" t="s">
        <v>8</v>
      </c>
      <c r="D237" s="4" t="s">
        <v>479</v>
      </c>
      <c r="E237" s="9" t="s">
        <v>379</v>
      </c>
      <c r="F237" s="22">
        <v>91243000</v>
      </c>
      <c r="G237" s="10">
        <v>91243000</v>
      </c>
      <c r="H237" s="34">
        <f t="shared" ref="H237:H247" si="36">F237-G237</f>
        <v>0</v>
      </c>
      <c r="I237" s="8" t="str">
        <f>IF($E237="","",IFERROR(IF(N($H237)&lt;&gt;0,"Chưa thanh toán đủ","Đã thanh toán đủ"),""))</f>
        <v>Đã thanh toán đủ</v>
      </c>
      <c r="J237" s="30" cm="1">
        <f t="array" ref="J237">IF($E237="","",IFERROR(_xlfn.IFS($D237="trọn gói",$F237*1%,$D237="tự lắp",$F237*0.8%,$D237="phân phối",$F237*0.2%),""))</f>
        <v>729944</v>
      </c>
      <c r="K237" s="11"/>
    </row>
    <row r="238" spans="1:11" ht="98">
      <c r="A238" s="4" t="s">
        <v>62</v>
      </c>
      <c r="B238" s="12" t="s">
        <v>378</v>
      </c>
      <c r="C238" s="4" t="s">
        <v>8</v>
      </c>
      <c r="D238" s="4" t="s">
        <v>480</v>
      </c>
      <c r="E238" s="16" t="s">
        <v>380</v>
      </c>
      <c r="F238" s="21">
        <v>122420500</v>
      </c>
      <c r="G238" s="10">
        <f>5000000+61120000+24484100</f>
        <v>90604100</v>
      </c>
      <c r="H238" s="34">
        <f t="shared" si="36"/>
        <v>31816400</v>
      </c>
      <c r="I238" s="8" t="str">
        <f>IF($E238="","",IFERROR(IF(N($H238)&lt;&gt;0,"Chưa thanh toán đủ","Đã thanh toán đủ"),""))</f>
        <v>Chưa thanh toán đủ</v>
      </c>
      <c r="J238" s="30" cm="1">
        <f t="array" ref="J238">IF($E238="","",IFERROR(_xlfn.IFS($D238="trọn gói",$F238*1%,$D238="tự lắp",$F238*0.8%,$D238="phân phối",$F238*0.2%),""))</f>
        <v>1224205</v>
      </c>
      <c r="K238" s="11"/>
    </row>
    <row r="239" spans="1:11" ht="84">
      <c r="A239" s="18" t="s">
        <v>62</v>
      </c>
      <c r="B239" s="12" t="s">
        <v>378</v>
      </c>
      <c r="C239" s="18" t="s">
        <v>8</v>
      </c>
      <c r="D239" s="18" t="s">
        <v>480</v>
      </c>
      <c r="E239" s="16" t="s">
        <v>381</v>
      </c>
      <c r="F239" s="21">
        <v>146000000</v>
      </c>
      <c r="G239" s="21">
        <f>5000000+91000000+50000000</f>
        <v>146000000</v>
      </c>
      <c r="H239" s="34">
        <f t="shared" si="36"/>
        <v>0</v>
      </c>
      <c r="I239" s="8" t="str">
        <f>IF($E239="","",IFERROR(IF(N($H239)&lt;&gt;0,"Chưa thanh toán đủ","Đã thanh toán đủ"),""))</f>
        <v>Đã thanh toán đủ</v>
      </c>
      <c r="J239" s="30" cm="1">
        <f t="array" ref="J239">IF($E239="","",IFERROR(_xlfn.IFS($D239="trọn gói",$F239*1%,$D239="tự lắp",$F239*0.8%,$D239="phân phối",$F239*0.2%),""))</f>
        <v>1460000</v>
      </c>
      <c r="K239" s="11"/>
    </row>
    <row r="240" spans="1:11" ht="112">
      <c r="A240" s="18" t="s">
        <v>62</v>
      </c>
      <c r="B240" s="12" t="s">
        <v>378</v>
      </c>
      <c r="C240" s="18" t="s">
        <v>8</v>
      </c>
      <c r="D240" s="18" t="s">
        <v>480</v>
      </c>
      <c r="E240" s="16" t="s">
        <v>382</v>
      </c>
      <c r="F240" s="21">
        <v>214824300</v>
      </c>
      <c r="G240" s="21">
        <f>44640000+31800000+39984300</f>
        <v>116424300</v>
      </c>
      <c r="H240" s="36">
        <f t="shared" si="36"/>
        <v>98400000</v>
      </c>
      <c r="I240" s="8" t="str">
        <f>IF($E240="","",IFERROR(IF(N($H240)&lt;&gt;0,"Chưa thanh toán đủ","Đã thanh toán đủ"),""))</f>
        <v>Chưa thanh toán đủ</v>
      </c>
      <c r="J240" s="30" cm="1">
        <f t="array" ref="J240">IF($E240="","",IFERROR(_xlfn.IFS($D240="trọn gói",$F240*1%,$D240="tự lắp",$F240*0.8%,$D240="phân phối",$F240*0.2%),""))</f>
        <v>2148243</v>
      </c>
      <c r="K240" s="11"/>
    </row>
    <row r="241" spans="1:11" ht="56">
      <c r="A241" s="18" t="s">
        <v>62</v>
      </c>
      <c r="B241" s="12" t="s">
        <v>378</v>
      </c>
      <c r="C241" s="18" t="s">
        <v>8</v>
      </c>
      <c r="D241" s="18" t="s">
        <v>480</v>
      </c>
      <c r="E241" s="16" t="s">
        <v>383</v>
      </c>
      <c r="F241" s="21">
        <v>267000000</v>
      </c>
      <c r="G241" s="21">
        <f>5000000+262000000</f>
        <v>267000000</v>
      </c>
      <c r="H241" s="36">
        <f t="shared" si="36"/>
        <v>0</v>
      </c>
      <c r="I241" s="8" t="str">
        <f>IF($E241="","",IFERROR(IF(N($H241)&lt;&gt;0,"Chưa thanh toán đủ","Đã thanh toán đủ"),""))</f>
        <v>Đã thanh toán đủ</v>
      </c>
      <c r="J241" s="30" cm="1">
        <f t="array" ref="J241">IF($E241="","",IFERROR(_xlfn.IFS($D241="trọn gói",$F241*1%,$D241="tự lắp",$F241*0.8%,$D241="phân phối",$F241*0.2%),""))</f>
        <v>2670000</v>
      </c>
      <c r="K241" s="11"/>
    </row>
    <row r="242" spans="1:11" ht="56">
      <c r="A242" s="18" t="s">
        <v>62</v>
      </c>
      <c r="B242" s="12" t="s">
        <v>378</v>
      </c>
      <c r="C242" s="18" t="s">
        <v>8</v>
      </c>
      <c r="D242" s="18" t="s">
        <v>480</v>
      </c>
      <c r="E242" s="16" t="s">
        <v>384</v>
      </c>
      <c r="F242" s="21">
        <v>21770000</v>
      </c>
      <c r="G242" s="21">
        <v>21770000</v>
      </c>
      <c r="H242" s="36">
        <f t="shared" si="36"/>
        <v>0</v>
      </c>
      <c r="I242" s="8" t="str">
        <f>IF($E242="","",IFERROR(IF(N($H242)&lt;&gt;0,"Chưa thanh toán đủ","Đã thanh toán đủ"),""))</f>
        <v>Đã thanh toán đủ</v>
      </c>
      <c r="J242" s="30" cm="1">
        <f t="array" ref="J242">IF($E242="","",IFERROR(_xlfn.IFS($D242="trọn gói",$F242*1%,$D242="tự lắp",$F242*0.8%,$D242="phân phối",$F242*0.2%),""))</f>
        <v>217700</v>
      </c>
      <c r="K242" s="11"/>
    </row>
    <row r="243" spans="1:11" ht="98">
      <c r="A243" s="18" t="s">
        <v>62</v>
      </c>
      <c r="B243" s="12" t="s">
        <v>378</v>
      </c>
      <c r="C243" s="18" t="s">
        <v>8</v>
      </c>
      <c r="D243" s="18" t="s">
        <v>479</v>
      </c>
      <c r="E243" s="16" t="s">
        <v>385</v>
      </c>
      <c r="F243" s="21">
        <v>252052000</v>
      </c>
      <c r="G243" s="21">
        <f>100000000+152052000</f>
        <v>252052000</v>
      </c>
      <c r="H243" s="36">
        <f t="shared" si="36"/>
        <v>0</v>
      </c>
      <c r="I243" s="8" t="str">
        <f>IF($E243="","",IFERROR(IF(N($H243)&lt;&gt;0,"Chưa thanh toán đủ","Đã thanh toán đủ"),""))</f>
        <v>Đã thanh toán đủ</v>
      </c>
      <c r="J243" s="30" cm="1">
        <f t="array" ref="J243">IF($E243="","",IFERROR(_xlfn.IFS($D243="trọn gói",$F243*1%,$D243="tự lắp",$F243*0.8%,$D243="phân phối",$F243*0.2%),""))</f>
        <v>2016416</v>
      </c>
      <c r="K243" s="11"/>
    </row>
    <row r="244" spans="1:11" ht="28">
      <c r="A244" s="18" t="s">
        <v>62</v>
      </c>
      <c r="B244" s="12" t="s">
        <v>378</v>
      </c>
      <c r="C244" s="18" t="s">
        <v>8</v>
      </c>
      <c r="D244" s="18" t="s">
        <v>480</v>
      </c>
      <c r="E244" s="16" t="s">
        <v>386</v>
      </c>
      <c r="F244" s="21">
        <v>282000000</v>
      </c>
      <c r="G244" s="21">
        <f t="shared" ref="G244:G247" si="37">F244</f>
        <v>282000000</v>
      </c>
      <c r="H244" s="36">
        <f t="shared" si="36"/>
        <v>0</v>
      </c>
      <c r="I244" s="8" t="str">
        <f>IF($E244="","",IFERROR(IF(N($H244)&lt;&gt;0,"Chưa thanh toán đủ","Đã thanh toán đủ"),""))</f>
        <v>Đã thanh toán đủ</v>
      </c>
      <c r="J244" s="30" cm="1">
        <f t="array" ref="J244">IF($E244="","",IFERROR(_xlfn.IFS($D244="trọn gói",$F244*1%,$D244="tự lắp",$F244*0.8%,$D244="phân phối",$F244*0.2%),""))</f>
        <v>2820000</v>
      </c>
      <c r="K244" s="11"/>
    </row>
    <row r="245" spans="1:11" ht="14">
      <c r="A245" s="18"/>
      <c r="B245" s="12" t="s">
        <v>378</v>
      </c>
      <c r="C245" s="18" t="s">
        <v>8</v>
      </c>
      <c r="D245" s="18" t="s">
        <v>480</v>
      </c>
      <c r="E245" s="16"/>
      <c r="F245" s="21">
        <f>SUM(F237:F244)</f>
        <v>1397309800</v>
      </c>
      <c r="G245" s="21">
        <f t="shared" si="37"/>
        <v>1397309800</v>
      </c>
      <c r="H245" s="36">
        <f t="shared" si="36"/>
        <v>0</v>
      </c>
      <c r="I245" s="8" t="str">
        <f>IF($E245="","",IFERROR(IF(N($H245)&lt;&gt;0,"Chưa thanh toán đủ","Đã thanh toán đủ"),""))</f>
        <v/>
      </c>
      <c r="J245" s="30" t="str" cm="1">
        <f t="array" ref="J245">IF($E245="","",IFERROR(_xlfn.IFS($D245="trọn gói",$F245*1%,$D245="tự lắp",$F245*0.8%,$D245="phân phối",$F245*0.2%),""))</f>
        <v/>
      </c>
      <c r="K245" s="11"/>
    </row>
    <row r="246" spans="1:11" ht="14">
      <c r="A246" s="18"/>
      <c r="B246" s="12" t="s">
        <v>378</v>
      </c>
      <c r="C246" s="18" t="s">
        <v>8</v>
      </c>
      <c r="D246" s="18" t="s">
        <v>480</v>
      </c>
      <c r="E246" s="16"/>
      <c r="F246" s="21"/>
      <c r="G246" s="21">
        <f t="shared" si="37"/>
        <v>0</v>
      </c>
      <c r="H246" s="36">
        <f t="shared" si="36"/>
        <v>0</v>
      </c>
      <c r="I246" s="8" t="str">
        <f>IF($E246="","",IFERROR(IF(N($H246)&lt;&gt;0,"Chưa thanh toán đủ","Đã thanh toán đủ"),""))</f>
        <v/>
      </c>
      <c r="J246" s="30" t="str" cm="1">
        <f t="array" ref="J246">IF($E246="","",IFERROR(_xlfn.IFS($D246="trọn gói",$F246*1%,$D246="tự lắp",$F246*0.8%,$D246="phân phối",$F246*0.2%),""))</f>
        <v/>
      </c>
      <c r="K246" s="11"/>
    </row>
    <row r="247" spans="1:11" ht="14">
      <c r="A247" s="18"/>
      <c r="B247" s="12" t="s">
        <v>378</v>
      </c>
      <c r="C247" s="18" t="s">
        <v>8</v>
      </c>
      <c r="D247" s="18" t="s">
        <v>480</v>
      </c>
      <c r="E247" s="16"/>
      <c r="F247" s="21"/>
      <c r="G247" s="21">
        <f t="shared" si="37"/>
        <v>0</v>
      </c>
      <c r="H247" s="36">
        <f t="shared" si="36"/>
        <v>0</v>
      </c>
      <c r="I247" s="8" t="str">
        <f>IF($E247="","",IFERROR(IF(N($H247)&lt;&gt;0,"Chưa thanh toán đủ","Đã thanh toán đủ"),""))</f>
        <v/>
      </c>
      <c r="J247" s="30" t="str" cm="1">
        <f t="array" ref="J247">IF($E247="","",IFERROR(_xlfn.IFS($D247="trọn gói",$F247*1%,$D247="tự lắp",$F247*0.8%,$D247="phân phối",$F247*0.2%),""))</f>
        <v/>
      </c>
      <c r="K247" s="11"/>
    </row>
    <row r="248" spans="1:11" ht="75">
      <c r="A248" s="4" t="s">
        <v>6</v>
      </c>
      <c r="B248" s="12" t="s">
        <v>378</v>
      </c>
      <c r="C248" s="4" t="s">
        <v>8</v>
      </c>
      <c r="D248" s="4" t="s">
        <v>480</v>
      </c>
      <c r="E248" s="9" t="s">
        <v>387</v>
      </c>
      <c r="F248" s="10">
        <v>165000000</v>
      </c>
      <c r="G248" s="10">
        <v>165000000</v>
      </c>
      <c r="H248" s="34"/>
      <c r="I248" s="8" t="str">
        <f>IF($E248="","",IFERROR(IF(N($H248)&lt;&gt;0,"Chưa thanh toán đủ","Đã thanh toán đủ"),""))</f>
        <v>Đã thanh toán đủ</v>
      </c>
      <c r="J248" s="30" cm="1">
        <f t="array" ref="J248">IF($E248="","",IFERROR(_xlfn.IFS($D248="trọn gói",$F248*1%,$D248="tự lắp",$F248*0.8%,$D248="phân phối",$F248*0.2%),""))</f>
        <v>1650000</v>
      </c>
      <c r="K248" s="11" t="s">
        <v>388</v>
      </c>
    </row>
    <row r="249" spans="1:11" ht="50">
      <c r="A249" s="4" t="s">
        <v>6</v>
      </c>
      <c r="B249" s="12" t="s">
        <v>378</v>
      </c>
      <c r="C249" s="4" t="s">
        <v>8</v>
      </c>
      <c r="D249" s="4" t="s">
        <v>479</v>
      </c>
      <c r="E249" s="9" t="s">
        <v>389</v>
      </c>
      <c r="F249" s="10">
        <v>122855000</v>
      </c>
      <c r="G249" s="10">
        <f t="shared" ref="G249:G250" si="38">F249</f>
        <v>122855000</v>
      </c>
      <c r="H249" s="34"/>
      <c r="I249" s="8" t="str">
        <f>IF($E249="","",IFERROR(IF(N($H249)&lt;&gt;0,"Chưa thanh toán đủ","Đã thanh toán đủ"),""))</f>
        <v>Đã thanh toán đủ</v>
      </c>
      <c r="J249" s="30" cm="1">
        <f t="array" ref="J249">IF($E249="","",IFERROR(_xlfn.IFS($D249="trọn gói",$F249*1%,$D249="tự lắp",$F249*0.8%,$D249="phân phối",$F249*0.2%),""))</f>
        <v>982840</v>
      </c>
      <c r="K249" s="23">
        <v>46188</v>
      </c>
    </row>
    <row r="250" spans="1:11" ht="87.5">
      <c r="A250" s="4" t="s">
        <v>6</v>
      </c>
      <c r="B250" s="12" t="s">
        <v>378</v>
      </c>
      <c r="C250" s="4" t="s">
        <v>8</v>
      </c>
      <c r="D250" s="4" t="s">
        <v>479</v>
      </c>
      <c r="E250" s="9" t="s">
        <v>390</v>
      </c>
      <c r="F250" s="10">
        <v>111035000</v>
      </c>
      <c r="G250" s="10">
        <f t="shared" si="38"/>
        <v>111035000</v>
      </c>
      <c r="H250" s="34"/>
      <c r="I250" s="8" t="str">
        <f>IF($E250="","",IFERROR(IF(N($H250)&lt;&gt;0,"Chưa thanh toán đủ","Đã thanh toán đủ"),""))</f>
        <v>Đã thanh toán đủ</v>
      </c>
      <c r="J250" s="30" cm="1">
        <f t="array" ref="J250">IF($E250="","",IFERROR(_xlfn.IFS($D250="trọn gói",$F250*1%,$D250="tự lắp",$F250*0.8%,$D250="phân phối",$F250*0.2%),""))</f>
        <v>888280</v>
      </c>
      <c r="K250" s="11" t="s">
        <v>391</v>
      </c>
    </row>
    <row r="251" spans="1:11" ht="62.5">
      <c r="A251" s="4" t="s">
        <v>6</v>
      </c>
      <c r="B251" s="12" t="s">
        <v>378</v>
      </c>
      <c r="C251" s="4" t="s">
        <v>8</v>
      </c>
      <c r="D251" s="4" t="s">
        <v>480</v>
      </c>
      <c r="E251" s="9" t="s">
        <v>392</v>
      </c>
      <c r="F251" s="10">
        <v>149293000</v>
      </c>
      <c r="G251" s="10">
        <v>149300000</v>
      </c>
      <c r="H251" s="34"/>
      <c r="I251" s="8" t="str">
        <f>IF($E251="","",IFERROR(IF(N($H251)&lt;&gt;0,"Chưa thanh toán đủ","Đã thanh toán đủ"),""))</f>
        <v>Đã thanh toán đủ</v>
      </c>
      <c r="J251" s="30" cm="1">
        <f t="array" ref="J251">IF($E251="","",IFERROR(_xlfn.IFS($D251="trọn gói",$F251*1%,$D251="tự lắp",$F251*0.8%,$D251="phân phối",$F251*0.2%),""))</f>
        <v>1492930</v>
      </c>
      <c r="K251" s="11" t="s">
        <v>393</v>
      </c>
    </row>
    <row r="252" spans="1:11" ht="87.5">
      <c r="A252" s="4" t="s">
        <v>6</v>
      </c>
      <c r="B252" s="12" t="s">
        <v>378</v>
      </c>
      <c r="C252" s="4" t="s">
        <v>8</v>
      </c>
      <c r="D252" s="4" t="s">
        <v>480</v>
      </c>
      <c r="E252" s="9" t="s">
        <v>394</v>
      </c>
      <c r="F252" s="10">
        <v>148000000</v>
      </c>
      <c r="G252" s="10">
        <f t="shared" ref="G252:G253" si="39">F252</f>
        <v>148000000</v>
      </c>
      <c r="H252" s="34"/>
      <c r="I252" s="8" t="str">
        <f>IF($E252="","",IFERROR(IF(N($H252)&lt;&gt;0,"Chưa thanh toán đủ","Đã thanh toán đủ"),""))</f>
        <v>Đã thanh toán đủ</v>
      </c>
      <c r="J252" s="30" cm="1">
        <f t="array" ref="J252">IF($E252="","",IFERROR(_xlfn.IFS($D252="trọn gói",$F252*1%,$D252="tự lắp",$F252*0.8%,$D252="phân phối",$F252*0.2%),""))</f>
        <v>1480000</v>
      </c>
      <c r="K252" s="11" t="s">
        <v>395</v>
      </c>
    </row>
    <row r="253" spans="1:11" ht="37.5">
      <c r="A253" s="4" t="s">
        <v>6</v>
      </c>
      <c r="B253" s="12" t="s">
        <v>378</v>
      </c>
      <c r="C253" s="4" t="s">
        <v>8</v>
      </c>
      <c r="D253" s="4" t="s">
        <v>479</v>
      </c>
      <c r="E253" s="9" t="s">
        <v>396</v>
      </c>
      <c r="F253" s="10">
        <v>5087500</v>
      </c>
      <c r="G253" s="10">
        <f t="shared" si="39"/>
        <v>5087500</v>
      </c>
      <c r="H253" s="34"/>
      <c r="I253" s="8" t="str">
        <f>IF($E253="","",IFERROR(IF(N($H253)&lt;&gt;0,"Chưa thanh toán đủ","Đã thanh toán đủ"),""))</f>
        <v>Đã thanh toán đủ</v>
      </c>
      <c r="J253" s="30" cm="1">
        <f t="array" ref="J253">IF($E253="","",IFERROR(_xlfn.IFS($D253="trọn gói",$F253*1%,$D253="tự lắp",$F253*0.8%,$D253="phân phối",$F253*0.2%),""))</f>
        <v>40700</v>
      </c>
      <c r="K253" s="11"/>
    </row>
    <row r="254" spans="1:11" ht="100">
      <c r="A254" s="4" t="s">
        <v>6</v>
      </c>
      <c r="B254" s="12" t="s">
        <v>378</v>
      </c>
      <c r="C254" s="4" t="s">
        <v>8</v>
      </c>
      <c r="D254" s="4" t="s">
        <v>480</v>
      </c>
      <c r="E254" s="9" t="s">
        <v>397</v>
      </c>
      <c r="F254" s="10">
        <v>113000000</v>
      </c>
      <c r="G254" s="10">
        <v>113000000</v>
      </c>
      <c r="H254" s="34"/>
      <c r="I254" s="8" t="str">
        <f>IF($E254="","",IFERROR(IF(N($H254)&lt;&gt;0,"Chưa thanh toán đủ","Đã thanh toán đủ"),""))</f>
        <v>Đã thanh toán đủ</v>
      </c>
      <c r="J254" s="30" cm="1">
        <f t="array" ref="J254">IF($E254="","",IFERROR(_xlfn.IFS($D254="trọn gói",$F254*1%,$D254="tự lắp",$F254*0.8%,$D254="phân phối",$F254*0.2%),""))</f>
        <v>1130000</v>
      </c>
      <c r="K254" s="11" t="s">
        <v>398</v>
      </c>
    </row>
    <row r="255" spans="1:11" ht="75">
      <c r="A255" s="4" t="s">
        <v>6</v>
      </c>
      <c r="B255" s="12" t="s">
        <v>378</v>
      </c>
      <c r="C255" s="4" t="s">
        <v>8</v>
      </c>
      <c r="D255" s="4" t="s">
        <v>480</v>
      </c>
      <c r="E255" s="9" t="s">
        <v>399</v>
      </c>
      <c r="F255" s="10">
        <v>306400000</v>
      </c>
      <c r="G255" s="10">
        <v>61400000</v>
      </c>
      <c r="H255" s="34"/>
      <c r="I255" s="8" t="str">
        <f>IF($E255="","",IFERROR(IF(N($H255)&lt;&gt;0,"Chưa thanh toán đủ","Đã thanh toán đủ"),""))</f>
        <v>Đã thanh toán đủ</v>
      </c>
      <c r="J255" s="30" cm="1">
        <f t="array" ref="J255">IF($E255="","",IFERROR(_xlfn.IFS($D255="trọn gói",$F255*1%,$D255="tự lắp",$F255*0.8%,$D255="phân phối",$F255*0.2%),""))</f>
        <v>3064000</v>
      </c>
      <c r="K255" s="11" t="s">
        <v>400</v>
      </c>
    </row>
    <row r="256" spans="1:11" ht="87.5">
      <c r="A256" s="4" t="s">
        <v>6</v>
      </c>
      <c r="B256" s="12" t="s">
        <v>378</v>
      </c>
      <c r="C256" s="4" t="s">
        <v>8</v>
      </c>
      <c r="D256" s="4" t="s">
        <v>480</v>
      </c>
      <c r="E256" s="9" t="s">
        <v>401</v>
      </c>
      <c r="F256" s="10">
        <v>140460560</v>
      </c>
      <c r="G256" s="10">
        <v>5000000</v>
      </c>
      <c r="H256" s="34"/>
      <c r="I256" s="8" t="str">
        <f>IF($E256="","",IFERROR(IF(N($H256)&lt;&gt;0,"Chưa thanh toán đủ","Đã thanh toán đủ"),""))</f>
        <v>Đã thanh toán đủ</v>
      </c>
      <c r="J256" s="30" cm="1">
        <f t="array" ref="J256">IF($E256="","",IFERROR(_xlfn.IFS($D256="trọn gói",$F256*1%,$D256="tự lắp",$F256*0.8%,$D256="phân phối",$F256*0.2%),""))</f>
        <v>1404605.6</v>
      </c>
      <c r="K256" s="11"/>
    </row>
    <row r="257" spans="1:11" ht="50">
      <c r="A257" s="4" t="s">
        <v>6</v>
      </c>
      <c r="B257" s="12" t="s">
        <v>378</v>
      </c>
      <c r="C257" s="4" t="s">
        <v>8</v>
      </c>
      <c r="D257" s="4" t="s">
        <v>479</v>
      </c>
      <c r="E257" s="9" t="s">
        <v>402</v>
      </c>
      <c r="F257" s="10">
        <v>88818900</v>
      </c>
      <c r="G257" s="10">
        <v>88818900</v>
      </c>
      <c r="H257" s="34"/>
      <c r="I257" s="8" t="str">
        <f>IF($E257="","",IFERROR(IF(N($H257)&lt;&gt;0,"Chưa thanh toán đủ","Đã thanh toán đủ"),""))</f>
        <v>Đã thanh toán đủ</v>
      </c>
      <c r="J257" s="30" cm="1">
        <f t="array" ref="J257">IF($E257="","",IFERROR(_xlfn.IFS($D257="trọn gói",$F257*1%,$D257="tự lắp",$F257*0.8%,$D257="phân phối",$F257*0.2%),""))</f>
        <v>710551.20000000007</v>
      </c>
      <c r="K257" s="11"/>
    </row>
    <row r="258" spans="1:11" ht="37.5">
      <c r="A258" s="4" t="s">
        <v>6</v>
      </c>
      <c r="B258" s="12" t="s">
        <v>378</v>
      </c>
      <c r="C258" s="4" t="s">
        <v>8</v>
      </c>
      <c r="D258" s="4" t="s">
        <v>479</v>
      </c>
      <c r="E258" s="9" t="s">
        <v>403</v>
      </c>
      <c r="F258" s="10">
        <v>66215900</v>
      </c>
      <c r="G258" s="10">
        <f>F258</f>
        <v>66215900</v>
      </c>
      <c r="H258" s="34"/>
      <c r="I258" s="8" t="str">
        <f>IF($E258="","",IFERROR(IF(N($H258)&lt;&gt;0,"Chưa thanh toán đủ","Đã thanh toán đủ"),""))</f>
        <v>Đã thanh toán đủ</v>
      </c>
      <c r="J258" s="30" cm="1">
        <f t="array" ref="J258">IF($E258="","",IFERROR(_xlfn.IFS($D258="trọn gói",$F258*1%,$D258="tự lắp",$F258*0.8%,$D258="phân phối",$F258*0.2%),""))</f>
        <v>529727.19999999995</v>
      </c>
      <c r="K258" s="11"/>
    </row>
    <row r="259" spans="1:11" ht="162.5">
      <c r="A259" s="4" t="s">
        <v>6</v>
      </c>
      <c r="B259" s="12" t="s">
        <v>378</v>
      </c>
      <c r="C259" s="4" t="s">
        <v>8</v>
      </c>
      <c r="D259" s="4" t="s">
        <v>480</v>
      </c>
      <c r="E259" s="9" t="s">
        <v>404</v>
      </c>
      <c r="F259" s="10">
        <v>274631000</v>
      </c>
      <c r="G259" s="10">
        <v>10000000</v>
      </c>
      <c r="H259" s="34"/>
      <c r="I259" s="8" t="str">
        <f>IF($E259="","",IFERROR(IF(N($H259)&lt;&gt;0,"Chưa thanh toán đủ","Đã thanh toán đủ"),""))</f>
        <v>Đã thanh toán đủ</v>
      </c>
      <c r="J259" s="30" cm="1">
        <f t="array" ref="J259">IF($E259="","",IFERROR(_xlfn.IFS($D259="trọn gói",$F259*1%,$D259="tự lắp",$F259*0.8%,$D259="phân phối",$F259*0.2%),""))</f>
        <v>2746310</v>
      </c>
      <c r="K259" s="11"/>
    </row>
    <row r="260" spans="1:11" ht="25">
      <c r="A260" s="4" t="s">
        <v>6</v>
      </c>
      <c r="B260" s="12" t="s">
        <v>378</v>
      </c>
      <c r="C260" s="4" t="s">
        <v>8</v>
      </c>
      <c r="D260" s="4" t="s">
        <v>480</v>
      </c>
      <c r="E260" s="9"/>
      <c r="F260" s="10">
        <v>89310060</v>
      </c>
      <c r="G260" s="10">
        <v>89310060</v>
      </c>
      <c r="H260" s="34"/>
      <c r="I260" s="8" t="str">
        <f>IF($E260="","",IFERROR(IF(N($H260)&lt;&gt;0,"Chưa thanh toán đủ","Đã thanh toán đủ"),""))</f>
        <v/>
      </c>
      <c r="J260" s="30" t="str" cm="1">
        <f t="array" ref="J260">IF($E260="","",IFERROR(_xlfn.IFS($D260="trọn gói",$F260*1%,$D260="tự lắp",$F260*0.8%,$D260="phân phối",$F260*0.2%),""))</f>
        <v/>
      </c>
      <c r="K260" s="11" t="s">
        <v>405</v>
      </c>
    </row>
    <row r="261" spans="1:11" ht="50">
      <c r="A261" s="4" t="s">
        <v>6</v>
      </c>
      <c r="B261" s="12" t="s">
        <v>378</v>
      </c>
      <c r="C261" s="4" t="s">
        <v>8</v>
      </c>
      <c r="D261" s="4" t="s">
        <v>479</v>
      </c>
      <c r="E261" s="9" t="s">
        <v>406</v>
      </c>
      <c r="F261" s="10">
        <v>38000000</v>
      </c>
      <c r="G261" s="10">
        <f>F261</f>
        <v>38000000</v>
      </c>
      <c r="H261" s="34"/>
      <c r="I261" s="8" t="str">
        <f>IF($E261="","",IFERROR(IF(N($H261)&lt;&gt;0,"Chưa thanh toán đủ","Đã thanh toán đủ"),""))</f>
        <v>Đã thanh toán đủ</v>
      </c>
      <c r="J261" s="30" cm="1">
        <f t="array" ref="J261">IF($E261="","",IFERROR(_xlfn.IFS($D261="trọn gói",$F261*1%,$D261="tự lắp",$F261*0.8%,$D261="phân phối",$F261*0.2%),""))</f>
        <v>304000</v>
      </c>
      <c r="K261" s="11"/>
    </row>
    <row r="262" spans="1:11" ht="50">
      <c r="A262" s="4" t="s">
        <v>6</v>
      </c>
      <c r="B262" s="12" t="s">
        <v>378</v>
      </c>
      <c r="C262" s="4" t="s">
        <v>8</v>
      </c>
      <c r="D262" s="4" t="s">
        <v>480</v>
      </c>
      <c r="E262" s="9" t="s">
        <v>407</v>
      </c>
      <c r="F262" s="10">
        <v>98000000</v>
      </c>
      <c r="G262" s="10">
        <v>52000000</v>
      </c>
      <c r="H262" s="34"/>
      <c r="I262" s="8" t="str">
        <f>IF($E262="","",IFERROR(IF(N($H262)&lt;&gt;0,"Chưa thanh toán đủ","Đã thanh toán đủ"),""))</f>
        <v>Đã thanh toán đủ</v>
      </c>
      <c r="J262" s="30" cm="1">
        <f t="array" ref="J262">IF($E262="","",IFERROR(_xlfn.IFS($D262="trọn gói",$F262*1%,$D262="tự lắp",$F262*0.8%,$D262="phân phối",$F262*0.2%),""))</f>
        <v>980000</v>
      </c>
      <c r="K262" s="11"/>
    </row>
    <row r="263" spans="1:11" ht="12.5">
      <c r="A263" s="4"/>
      <c r="B263" s="12" t="s">
        <v>378</v>
      </c>
      <c r="C263" s="4" t="s">
        <v>8</v>
      </c>
      <c r="D263" s="4" t="s">
        <v>480</v>
      </c>
      <c r="E263" s="9"/>
      <c r="F263" s="10">
        <f>SUM(F248:F262)</f>
        <v>1916106920</v>
      </c>
      <c r="G263" s="10">
        <f>F263</f>
        <v>1916106920</v>
      </c>
      <c r="H263" s="34"/>
      <c r="I263" s="8" t="str">
        <f>IF($E263="","",IFERROR(IF(N($H263)&lt;&gt;0,"Chưa thanh toán đủ","Đã thanh toán đủ"),""))</f>
        <v/>
      </c>
      <c r="J263" s="30" t="str" cm="1">
        <f t="array" ref="J263">IF($E263="","",IFERROR(_xlfn.IFS($D263="trọn gói",$F263*1%,$D263="tự lắp",$F263*0.8%,$D263="phân phối",$F263*0.2%),""))</f>
        <v/>
      </c>
      <c r="K263" s="11"/>
    </row>
    <row r="264" spans="1:11" ht="100">
      <c r="A264" s="4" t="s">
        <v>288</v>
      </c>
      <c r="B264" s="12" t="s">
        <v>378</v>
      </c>
      <c r="C264" s="4" t="s">
        <v>8</v>
      </c>
      <c r="D264" s="4" t="s">
        <v>480</v>
      </c>
      <c r="E264" s="9" t="s">
        <v>408</v>
      </c>
      <c r="F264" s="10">
        <v>129000000</v>
      </c>
      <c r="G264" s="10">
        <v>129000000</v>
      </c>
      <c r="H264" s="34"/>
      <c r="I264" s="8" t="str">
        <f>IF($E264="","",IFERROR(IF(N($H264)&lt;&gt;0,"Chưa thanh toán đủ","Đã thanh toán đủ"),""))</f>
        <v>Đã thanh toán đủ</v>
      </c>
      <c r="J264" s="30" cm="1">
        <f t="array" ref="J264">IF($E264="","",IFERROR(_xlfn.IFS($D264="trọn gói",$F264*1%,$D264="tự lắp",$F264*0.8%,$D264="phân phối",$F264*0.2%),""))</f>
        <v>1290000</v>
      </c>
      <c r="K264" s="11"/>
    </row>
    <row r="265" spans="1:11" ht="100">
      <c r="A265" s="4" t="s">
        <v>288</v>
      </c>
      <c r="B265" s="12" t="s">
        <v>378</v>
      </c>
      <c r="C265" s="4" t="s">
        <v>8</v>
      </c>
      <c r="D265" s="4" t="s">
        <v>480</v>
      </c>
      <c r="E265" s="9" t="s">
        <v>409</v>
      </c>
      <c r="F265" s="10">
        <v>135000000</v>
      </c>
      <c r="G265" s="10">
        <v>5000000</v>
      </c>
      <c r="H265" s="34"/>
      <c r="I265" s="8" t="str">
        <f>IF($E265="","",IFERROR(IF(N($H265)&lt;&gt;0,"Chưa thanh toán đủ","Đã thanh toán đủ"),""))</f>
        <v>Đã thanh toán đủ</v>
      </c>
      <c r="J265" s="30" cm="1">
        <f t="array" ref="J265">IF($E265="","",IFERROR(_xlfn.IFS($D265="trọn gói",$F265*1%,$D265="tự lắp",$F265*0.8%,$D265="phân phối",$F265*0.2%),""))</f>
        <v>1350000</v>
      </c>
      <c r="K265" s="11" t="s">
        <v>410</v>
      </c>
    </row>
    <row r="266" spans="1:11" ht="12.5">
      <c r="A266" s="4" t="s">
        <v>288</v>
      </c>
      <c r="B266" s="12" t="s">
        <v>378</v>
      </c>
      <c r="C266" s="4" t="s">
        <v>8</v>
      </c>
      <c r="D266" s="4" t="s">
        <v>480</v>
      </c>
      <c r="E266" s="9" t="s">
        <v>411</v>
      </c>
      <c r="F266" s="10">
        <v>52800000</v>
      </c>
      <c r="G266" s="10">
        <v>52800000</v>
      </c>
      <c r="H266" s="34"/>
      <c r="I266" s="8" t="str">
        <f>IF($E266="","",IFERROR(IF(N($H266)&lt;&gt;0,"Chưa thanh toán đủ","Đã thanh toán đủ"),""))</f>
        <v>Đã thanh toán đủ</v>
      </c>
      <c r="J266" s="30" cm="1">
        <f t="array" ref="J266">IF($E266="","",IFERROR(_xlfn.IFS($D266="trọn gói",$F266*1%,$D266="tự lắp",$F266*0.8%,$D266="phân phối",$F266*0.2%),""))</f>
        <v>528000</v>
      </c>
      <c r="K266" s="11" t="s">
        <v>412</v>
      </c>
    </row>
    <row r="267" spans="1:11" ht="87.5">
      <c r="A267" s="4" t="s">
        <v>288</v>
      </c>
      <c r="B267" s="12" t="s">
        <v>378</v>
      </c>
      <c r="C267" s="4" t="s">
        <v>8</v>
      </c>
      <c r="D267" s="4" t="s">
        <v>480</v>
      </c>
      <c r="E267" s="9" t="s">
        <v>413</v>
      </c>
      <c r="F267" s="10">
        <v>101600000</v>
      </c>
      <c r="G267" s="10">
        <v>5000000</v>
      </c>
      <c r="H267" s="34"/>
      <c r="I267" s="8" t="str">
        <f>IF($E267="","",IFERROR(IF(N($H267)&lt;&gt;0,"Chưa thanh toán đủ","Đã thanh toán đủ"),""))</f>
        <v>Đã thanh toán đủ</v>
      </c>
      <c r="J267" s="30" cm="1">
        <f t="array" ref="J267">IF($E267="","",IFERROR(_xlfn.IFS($D267="trọn gói",$F267*1%,$D267="tự lắp",$F267*0.8%,$D267="phân phối",$F267*0.2%),""))</f>
        <v>1016000</v>
      </c>
      <c r="K267" s="11" t="s">
        <v>414</v>
      </c>
    </row>
    <row r="268" spans="1:11" ht="62.5">
      <c r="A268" s="4" t="s">
        <v>288</v>
      </c>
      <c r="B268" s="12" t="s">
        <v>378</v>
      </c>
      <c r="C268" s="4" t="s">
        <v>8</v>
      </c>
      <c r="D268" s="4" t="s">
        <v>480</v>
      </c>
      <c r="E268" s="9" t="s">
        <v>415</v>
      </c>
      <c r="F268" s="10">
        <v>142000000</v>
      </c>
      <c r="G268" s="10">
        <v>5000000</v>
      </c>
      <c r="H268" s="34"/>
      <c r="I268" s="8" t="str">
        <f>IF($E268="","",IFERROR(IF(N($H268)&lt;&gt;0,"Chưa thanh toán đủ","Đã thanh toán đủ"),""))</f>
        <v>Đã thanh toán đủ</v>
      </c>
      <c r="J268" s="30" cm="1">
        <f t="array" ref="J268">IF($E268="","",IFERROR(_xlfn.IFS($D268="trọn gói",$F268*1%,$D268="tự lắp",$F268*0.8%,$D268="phân phối",$F268*0.2%),""))</f>
        <v>1420000</v>
      </c>
      <c r="K268" s="11" t="s">
        <v>416</v>
      </c>
    </row>
    <row r="269" spans="1:11" ht="12.5">
      <c r="A269" s="4" t="s">
        <v>288</v>
      </c>
      <c r="B269" s="12" t="s">
        <v>378</v>
      </c>
      <c r="C269" s="4" t="s">
        <v>8</v>
      </c>
      <c r="D269" s="4" t="s">
        <v>480</v>
      </c>
      <c r="E269" s="9" t="s">
        <v>417</v>
      </c>
      <c r="F269" s="10">
        <v>12000000</v>
      </c>
      <c r="G269" s="10">
        <f>F269</f>
        <v>12000000</v>
      </c>
      <c r="H269" s="34"/>
      <c r="I269" s="8" t="str">
        <f>IF($E269="","",IFERROR(IF(N($H269)&lt;&gt;0,"Chưa thanh toán đủ","Đã thanh toán đủ"),""))</f>
        <v>Đã thanh toán đủ</v>
      </c>
      <c r="J269" s="30" cm="1">
        <f t="array" ref="J269">IF($E269="","",IFERROR(_xlfn.IFS($D269="trọn gói",$F269*1%,$D269="tự lắp",$F269*0.8%,$D269="phân phối",$F269*0.2%),""))</f>
        <v>120000</v>
      </c>
      <c r="K269" s="11"/>
    </row>
    <row r="270" spans="1:11" ht="12.5">
      <c r="A270" s="4" t="s">
        <v>288</v>
      </c>
      <c r="B270" s="12" t="s">
        <v>378</v>
      </c>
      <c r="C270" s="4" t="s">
        <v>8</v>
      </c>
      <c r="D270" s="4" t="s">
        <v>480</v>
      </c>
      <c r="E270" s="9" t="s">
        <v>418</v>
      </c>
      <c r="F270" s="10">
        <v>1600000</v>
      </c>
      <c r="G270" s="10">
        <v>1600000</v>
      </c>
      <c r="H270" s="34"/>
      <c r="I270" s="8" t="str">
        <f>IF($E270="","",IFERROR(IF(N($H270)&lt;&gt;0,"Chưa thanh toán đủ","Đã thanh toán đủ"),""))</f>
        <v>Đã thanh toán đủ</v>
      </c>
      <c r="J270" s="30" cm="1">
        <f t="array" ref="J270">IF($E270="","",IFERROR(_xlfn.IFS($D270="trọn gói",$F270*1%,$D270="tự lắp",$F270*0.8%,$D270="phân phối",$F270*0.2%),""))</f>
        <v>16000</v>
      </c>
      <c r="K270" s="11"/>
    </row>
    <row r="271" spans="1:11" ht="25">
      <c r="A271" s="4" t="s">
        <v>49</v>
      </c>
      <c r="B271" s="12" t="s">
        <v>378</v>
      </c>
      <c r="C271" s="4" t="s">
        <v>23</v>
      </c>
      <c r="D271" s="4" t="s">
        <v>480</v>
      </c>
      <c r="E271" s="9" t="s">
        <v>419</v>
      </c>
      <c r="F271" s="10">
        <v>135000000</v>
      </c>
      <c r="G271" s="10">
        <f t="shared" ref="G271:G277" si="40">F271</f>
        <v>135000000</v>
      </c>
      <c r="H271" s="34">
        <f t="shared" ref="H271:H276" si="41">F271-G271</f>
        <v>0</v>
      </c>
      <c r="I271" s="8" t="str">
        <f>IF($E271="","",IFERROR(IF(N($H271)&lt;&gt;0,"Chưa thanh toán đủ","Đã thanh toán đủ"),""))</f>
        <v>Đã thanh toán đủ</v>
      </c>
      <c r="J271" s="30" cm="1">
        <f t="array" ref="J271">IF($E271="","",IFERROR(_xlfn.IFS($D271="trọn gói",$F271*1%,$D271="tự lắp",$F271*0.8%,$D271="phân phối",$F271*0.2%),""))</f>
        <v>1350000</v>
      </c>
      <c r="K271" s="11" t="s">
        <v>420</v>
      </c>
    </row>
    <row r="272" spans="1:11" ht="25">
      <c r="A272" s="4" t="s">
        <v>49</v>
      </c>
      <c r="B272" s="12" t="s">
        <v>378</v>
      </c>
      <c r="C272" s="4" t="s">
        <v>477</v>
      </c>
      <c r="D272" s="4" t="s">
        <v>479</v>
      </c>
      <c r="E272" s="9" t="s">
        <v>421</v>
      </c>
      <c r="F272" s="10">
        <v>56100000</v>
      </c>
      <c r="G272" s="10">
        <f t="shared" si="40"/>
        <v>56100000</v>
      </c>
      <c r="H272" s="34">
        <f t="shared" si="41"/>
        <v>0</v>
      </c>
      <c r="I272" s="8" t="str">
        <f>IF($E272="","",IFERROR(IF(N($H272)&lt;&gt;0,"Chưa thanh toán đủ","Đã thanh toán đủ"),""))</f>
        <v>Đã thanh toán đủ</v>
      </c>
      <c r="J272" s="30" cm="1">
        <f t="array" ref="J272">IF($E272="","",IFERROR(_xlfn.IFS($D272="trọn gói",$F272*1%,$D272="tự lắp",$F272*0.8%,$D272="phân phối",$F272*0.2%),""))</f>
        <v>448800</v>
      </c>
      <c r="K272" s="11" t="s">
        <v>422</v>
      </c>
    </row>
    <row r="273" spans="1:11" ht="25">
      <c r="A273" s="4" t="s">
        <v>49</v>
      </c>
      <c r="B273" s="12" t="s">
        <v>378</v>
      </c>
      <c r="C273" s="4" t="s">
        <v>477</v>
      </c>
      <c r="D273" s="4" t="s">
        <v>479</v>
      </c>
      <c r="E273" s="9" t="s">
        <v>423</v>
      </c>
      <c r="F273" s="10">
        <v>45100000</v>
      </c>
      <c r="G273" s="10">
        <f t="shared" si="40"/>
        <v>45100000</v>
      </c>
      <c r="H273" s="34">
        <f t="shared" si="41"/>
        <v>0</v>
      </c>
      <c r="I273" s="8" t="str">
        <f>IF($E273="","",IFERROR(IF(N($H273)&lt;&gt;0,"Chưa thanh toán đủ","Đã thanh toán đủ"),""))</f>
        <v>Đã thanh toán đủ</v>
      </c>
      <c r="J273" s="30" cm="1">
        <f t="array" ref="J273">IF($E273="","",IFERROR(_xlfn.IFS($D273="trọn gói",$F273*1%,$D273="tự lắp",$F273*0.8%,$D273="phân phối",$F273*0.2%),""))</f>
        <v>360800</v>
      </c>
      <c r="K273" s="11" t="s">
        <v>424</v>
      </c>
    </row>
    <row r="274" spans="1:11" ht="25">
      <c r="A274" s="4" t="s">
        <v>49</v>
      </c>
      <c r="B274" s="12" t="s">
        <v>378</v>
      </c>
      <c r="C274" s="4" t="s">
        <v>8</v>
      </c>
      <c r="D274" s="4" t="s">
        <v>480</v>
      </c>
      <c r="E274" s="9" t="s">
        <v>425</v>
      </c>
      <c r="F274" s="10">
        <v>68500000</v>
      </c>
      <c r="G274" s="10">
        <f t="shared" si="40"/>
        <v>68500000</v>
      </c>
      <c r="H274" s="34">
        <f t="shared" si="41"/>
        <v>0</v>
      </c>
      <c r="I274" s="8" t="str">
        <f>IF($E274="","",IFERROR(IF(N($H274)&lt;&gt;0,"Chưa thanh toán đủ","Đã thanh toán đủ"),""))</f>
        <v>Đã thanh toán đủ</v>
      </c>
      <c r="J274" s="30" cm="1">
        <f t="array" ref="J274">IF($E274="","",IFERROR(_xlfn.IFS($D274="trọn gói",$F274*1%,$D274="tự lắp",$F274*0.8%,$D274="phân phối",$F274*0.2%),""))</f>
        <v>685000</v>
      </c>
      <c r="K274" s="11"/>
    </row>
    <row r="275" spans="1:11" ht="12.5">
      <c r="A275" s="4" t="s">
        <v>49</v>
      </c>
      <c r="B275" s="12" t="s">
        <v>378</v>
      </c>
      <c r="C275" s="4" t="s">
        <v>8</v>
      </c>
      <c r="D275" s="4" t="s">
        <v>480</v>
      </c>
      <c r="E275" s="9" t="s">
        <v>426</v>
      </c>
      <c r="F275" s="10">
        <v>243000000</v>
      </c>
      <c r="G275" s="10">
        <f t="shared" si="40"/>
        <v>243000000</v>
      </c>
      <c r="H275" s="34">
        <f t="shared" si="41"/>
        <v>0</v>
      </c>
      <c r="I275" s="8" t="str">
        <f>IF($E275="","",IFERROR(IF(N($H275)&lt;&gt;0,"Chưa thanh toán đủ","Đã thanh toán đủ"),""))</f>
        <v>Đã thanh toán đủ</v>
      </c>
      <c r="J275" s="30" cm="1">
        <f t="array" ref="J275">IF($E275="","",IFERROR(_xlfn.IFS($D275="trọn gói",$F275*1%,$D275="tự lắp",$F275*0.8%,$D275="phân phối",$F275*0.2%),""))</f>
        <v>2430000</v>
      </c>
      <c r="K275" s="11"/>
    </row>
    <row r="276" spans="1:11" ht="25">
      <c r="A276" s="4" t="s">
        <v>49</v>
      </c>
      <c r="B276" s="12" t="s">
        <v>378</v>
      </c>
      <c r="C276" s="4" t="s">
        <v>477</v>
      </c>
      <c r="D276" s="4" t="s">
        <v>479</v>
      </c>
      <c r="E276" s="9" t="s">
        <v>427</v>
      </c>
      <c r="F276" s="10">
        <v>4200000</v>
      </c>
      <c r="G276" s="10">
        <f t="shared" si="40"/>
        <v>4200000</v>
      </c>
      <c r="H276" s="34">
        <f t="shared" si="41"/>
        <v>0</v>
      </c>
      <c r="I276" s="8" t="str">
        <f>IF($E276="","",IFERROR(IF(N($H276)&lt;&gt;0,"Chưa thanh toán đủ","Đã thanh toán đủ"),""))</f>
        <v>Đã thanh toán đủ</v>
      </c>
      <c r="J276" s="30" cm="1">
        <f t="array" ref="J276">IF($E276="","",IFERROR(_xlfn.IFS($D276="trọn gói",$F276*1%,$D276="tự lắp",$F276*0.8%,$D276="phân phối",$F276*0.2%),""))</f>
        <v>33600</v>
      </c>
      <c r="K276" s="11"/>
    </row>
    <row r="277" spans="1:11" ht="25">
      <c r="A277" s="4" t="s">
        <v>49</v>
      </c>
      <c r="B277" s="12" t="s">
        <v>378</v>
      </c>
      <c r="C277" s="4" t="s">
        <v>477</v>
      </c>
      <c r="D277" s="4" t="s">
        <v>479</v>
      </c>
      <c r="E277" s="9" t="s">
        <v>427</v>
      </c>
      <c r="F277" s="10">
        <v>4200000</v>
      </c>
      <c r="G277" s="10">
        <f t="shared" si="40"/>
        <v>4200000</v>
      </c>
      <c r="H277" s="34"/>
      <c r="I277" s="8" t="str">
        <f>IF($E277="","",IFERROR(IF(N($H277)&lt;&gt;0,"Chưa thanh toán đủ","Đã thanh toán đủ"),""))</f>
        <v>Đã thanh toán đủ</v>
      </c>
      <c r="J277" s="30" cm="1">
        <f t="array" ref="J277">IF($E277="","",IFERROR(_xlfn.IFS($D277="trọn gói",$F277*1%,$D277="tự lắp",$F277*0.8%,$D277="phân phối",$F277*0.2%),""))</f>
        <v>33600</v>
      </c>
      <c r="K277" s="11"/>
    </row>
    <row r="278" spans="1:11" ht="25">
      <c r="A278" s="4" t="s">
        <v>49</v>
      </c>
      <c r="B278" s="12" t="s">
        <v>378</v>
      </c>
      <c r="C278" s="4" t="s">
        <v>8</v>
      </c>
      <c r="D278" s="4" t="s">
        <v>479</v>
      </c>
      <c r="E278" s="9" t="s">
        <v>428</v>
      </c>
      <c r="F278" s="10">
        <v>86500000</v>
      </c>
      <c r="G278" s="10">
        <v>3000000</v>
      </c>
      <c r="H278" s="34"/>
      <c r="I278" s="8" t="str">
        <f>IF($E278="","",IFERROR(IF(N($H278)&lt;&gt;0,"Chưa thanh toán đủ","Đã thanh toán đủ"),""))</f>
        <v>Đã thanh toán đủ</v>
      </c>
      <c r="J278" s="30" cm="1">
        <f t="array" ref="J278">IF($E278="","",IFERROR(_xlfn.IFS($D278="trọn gói",$F278*1%,$D278="tự lắp",$F278*0.8%,$D278="phân phối",$F278*0.2%),""))</f>
        <v>692000</v>
      </c>
      <c r="K278" s="11"/>
    </row>
    <row r="279" spans="1:11" ht="12.5">
      <c r="A279" s="4"/>
      <c r="B279" s="12" t="s">
        <v>378</v>
      </c>
      <c r="C279" s="4" t="s">
        <v>8</v>
      </c>
      <c r="D279" s="4" t="s">
        <v>480</v>
      </c>
      <c r="E279" s="9"/>
      <c r="F279" s="10">
        <f>SUM(F264:F278)</f>
        <v>1216600000</v>
      </c>
      <c r="G279" s="10">
        <f>F279</f>
        <v>1216600000</v>
      </c>
      <c r="H279" s="34"/>
      <c r="I279" s="8" t="str">
        <f>IF($E279="","",IFERROR(IF(N($H279)&lt;&gt;0,"Chưa thanh toán đủ","Đã thanh toán đủ"),""))</f>
        <v/>
      </c>
      <c r="J279" s="30" t="str" cm="1">
        <f t="array" ref="J279">IF($E279="","",IFERROR(_xlfn.IFS($D279="trọn gói",$F279*1%,$D279="tự lắp",$F279*0.8%,$D279="phân phối",$F279*0.2%),""))</f>
        <v/>
      </c>
      <c r="K279" s="11"/>
    </row>
    <row r="280" spans="1:11" ht="37.5">
      <c r="A280" s="4" t="s">
        <v>71</v>
      </c>
      <c r="B280" s="12" t="s">
        <v>378</v>
      </c>
      <c r="C280" s="4" t="s">
        <v>8</v>
      </c>
      <c r="D280" s="4" t="s">
        <v>480</v>
      </c>
      <c r="E280" s="9" t="s">
        <v>429</v>
      </c>
      <c r="F280" s="10">
        <v>159113080</v>
      </c>
      <c r="G280" s="10">
        <v>5000000</v>
      </c>
      <c r="H280" s="34">
        <f t="shared" ref="H280:H281" si="42">F280-G280</f>
        <v>154113080</v>
      </c>
      <c r="I280" s="8" t="str">
        <f>IF($E280="","",IFERROR(IF(N($H280)&lt;&gt;0,"Chưa thanh toán đủ","Đã thanh toán đủ"),""))</f>
        <v>Chưa thanh toán đủ</v>
      </c>
      <c r="J280" s="30" cm="1">
        <f t="array" ref="J280">IF($E280="","",IFERROR(_xlfn.IFS($D280="trọn gói",$F280*1%,$D280="tự lắp",$F280*0.8%,$D280="phân phối",$F280*0.2%),""))</f>
        <v>1591130.8</v>
      </c>
      <c r="K280" s="11"/>
    </row>
    <row r="281" spans="1:11" ht="50">
      <c r="A281" s="4" t="s">
        <v>71</v>
      </c>
      <c r="B281" s="12" t="s">
        <v>378</v>
      </c>
      <c r="C281" s="4" t="s">
        <v>8</v>
      </c>
      <c r="D281" s="4" t="s">
        <v>480</v>
      </c>
      <c r="E281" s="9" t="s">
        <v>430</v>
      </c>
      <c r="F281" s="10">
        <v>3540000000</v>
      </c>
      <c r="G281" s="10">
        <v>508000000</v>
      </c>
      <c r="H281" s="34">
        <f t="shared" si="42"/>
        <v>3032000000</v>
      </c>
      <c r="I281" s="8" t="str">
        <f>IF($E281="","",IFERROR(IF(N($H281)&lt;&gt;0,"Chưa thanh toán đủ","Đã thanh toán đủ"),""))</f>
        <v>Chưa thanh toán đủ</v>
      </c>
      <c r="J281" s="30" cm="1">
        <f t="array" ref="J281">IF($E281="","",IFERROR(_xlfn.IFS($D281="trọn gói",$F281*1%,$D281="tự lắp",$F281*0.8%,$D281="phân phối",$F281*0.2%),""))</f>
        <v>35400000</v>
      </c>
      <c r="K281" s="11"/>
    </row>
    <row r="282" spans="1:11" ht="12.5">
      <c r="A282" s="4" t="s">
        <v>71</v>
      </c>
      <c r="B282" s="12" t="s">
        <v>378</v>
      </c>
      <c r="C282" s="4" t="s">
        <v>8</v>
      </c>
      <c r="D282" s="4" t="s">
        <v>480</v>
      </c>
      <c r="E282" s="9"/>
      <c r="F282" s="10"/>
      <c r="G282" s="10">
        <f>F282</f>
        <v>0</v>
      </c>
      <c r="H282" s="34"/>
      <c r="I282" s="8" t="str">
        <f>IF($E282="","",IFERROR(IF(N($H282)&lt;&gt;0,"Chưa thanh toán đủ","Đã thanh toán đủ"),""))</f>
        <v/>
      </c>
      <c r="J282" s="30" t="str" cm="1">
        <f t="array" ref="J282">IF($E282="","",IFERROR(_xlfn.IFS($D282="trọn gói",$F282*1%,$D282="tự lắp",$F282*0.8%,$D282="phân phối",$F282*0.2%),""))</f>
        <v/>
      </c>
      <c r="K282" s="11"/>
    </row>
    <row r="283" spans="1:11" ht="50">
      <c r="A283" s="4" t="s">
        <v>71</v>
      </c>
      <c r="B283" s="12" t="s">
        <v>378</v>
      </c>
      <c r="C283" s="4" t="s">
        <v>8</v>
      </c>
      <c r="D283" s="4" t="s">
        <v>480</v>
      </c>
      <c r="E283" s="9" t="s">
        <v>431</v>
      </c>
      <c r="F283" s="10">
        <v>747221770</v>
      </c>
      <c r="G283" s="10">
        <f>F283-74722177</f>
        <v>672499593</v>
      </c>
      <c r="H283" s="34"/>
      <c r="I283" s="8" t="str">
        <f>IF($E283="","",IFERROR(IF(N($H283)&lt;&gt;0,"Chưa thanh toán đủ","Đã thanh toán đủ"),""))</f>
        <v>Đã thanh toán đủ</v>
      </c>
      <c r="J283" s="30" cm="1">
        <f t="array" ref="J283">IF($E283="","",IFERROR(_xlfn.IFS($D283="trọn gói",$F283*1%,$D283="tự lắp",$F283*0.8%,$D283="phân phối",$F283*0.2%),""))</f>
        <v>7472217.7000000002</v>
      </c>
      <c r="K283" s="11"/>
    </row>
    <row r="284" spans="1:11" ht="37.5">
      <c r="A284" s="4" t="s">
        <v>71</v>
      </c>
      <c r="B284" s="12" t="s">
        <v>378</v>
      </c>
      <c r="C284" s="4" t="s">
        <v>8</v>
      </c>
      <c r="D284" s="4" t="s">
        <v>480</v>
      </c>
      <c r="E284" s="9" t="s">
        <v>432</v>
      </c>
      <c r="F284" s="10">
        <v>42200000</v>
      </c>
      <c r="G284" s="10">
        <f>F284</f>
        <v>42200000</v>
      </c>
      <c r="H284" s="34"/>
      <c r="I284" s="8" t="str">
        <f>IF($E284="","",IFERROR(IF(N($H284)&lt;&gt;0,"Chưa thanh toán đủ","Đã thanh toán đủ"),""))</f>
        <v>Đã thanh toán đủ</v>
      </c>
      <c r="J284" s="30" cm="1">
        <f t="array" ref="J284">IF($E284="","",IFERROR(_xlfn.IFS($D284="trọn gói",$F284*1%,$D284="tự lắp",$F284*0.8%,$D284="phân phối",$F284*0.2%),""))</f>
        <v>422000</v>
      </c>
      <c r="K284" s="11"/>
    </row>
    <row r="285" spans="1:11" ht="12.5">
      <c r="A285" s="4" t="s">
        <v>71</v>
      </c>
      <c r="B285" s="12" t="s">
        <v>378</v>
      </c>
      <c r="C285" s="4" t="s">
        <v>8</v>
      </c>
      <c r="D285" s="4" t="s">
        <v>480</v>
      </c>
      <c r="E285" s="9"/>
      <c r="F285" s="10"/>
      <c r="G285" s="10">
        <f>F285</f>
        <v>0</v>
      </c>
      <c r="H285" s="34"/>
      <c r="I285" s="8" t="str">
        <f>IF($E285="","",IFERROR(IF(N($H285)&lt;&gt;0,"Chưa thanh toán đủ","Đã thanh toán đủ"),""))</f>
        <v/>
      </c>
      <c r="J285" s="30" t="str" cm="1">
        <f t="array" ref="J285">IF($E285="","",IFERROR(_xlfn.IFS($D285="trọn gói",$F285*1%,$D285="tự lắp",$F285*0.8%,$D285="phân phối",$F285*0.2%),""))</f>
        <v/>
      </c>
      <c r="K285" s="11"/>
    </row>
    <row r="286" spans="1:11" ht="112.5">
      <c r="A286" s="4" t="s">
        <v>433</v>
      </c>
      <c r="B286" s="12" t="s">
        <v>378</v>
      </c>
      <c r="C286" s="4" t="s">
        <v>8</v>
      </c>
      <c r="D286" s="4" t="s">
        <v>480</v>
      </c>
      <c r="E286" s="9" t="s">
        <v>434</v>
      </c>
      <c r="F286" s="10">
        <v>136416800</v>
      </c>
      <c r="G286" s="10">
        <v>38916800</v>
      </c>
      <c r="H286" s="34">
        <v>97500000</v>
      </c>
      <c r="I286" s="8" t="str">
        <f>IF($E286="","",IFERROR(IF(N($H286)&lt;&gt;0,"Chưa thanh toán đủ","Đã thanh toán đủ"),""))</f>
        <v>Chưa thanh toán đủ</v>
      </c>
      <c r="J286" s="30" cm="1">
        <f t="array" ref="J286">IF($E286="","",IFERROR(_xlfn.IFS($D286="trọn gói",$F286*1%,$D286="tự lắp",$F286*0.8%,$D286="phân phối",$F286*0.2%),""))</f>
        <v>1364168</v>
      </c>
      <c r="K286" s="11"/>
    </row>
    <row r="287" spans="1:11" ht="112.5">
      <c r="A287" s="4" t="s">
        <v>433</v>
      </c>
      <c r="B287" s="12" t="s">
        <v>378</v>
      </c>
      <c r="C287" s="4" t="s">
        <v>8</v>
      </c>
      <c r="D287" s="4" t="s">
        <v>480</v>
      </c>
      <c r="E287" s="9" t="s">
        <v>435</v>
      </c>
      <c r="F287" s="10">
        <v>96192240</v>
      </c>
      <c r="G287" s="10">
        <v>96192240</v>
      </c>
      <c r="H287" s="34"/>
      <c r="I287" s="8" t="str">
        <f>IF($E287="","",IFERROR(IF(N($H287)&lt;&gt;0,"Chưa thanh toán đủ","Đã thanh toán đủ"),""))</f>
        <v>Đã thanh toán đủ</v>
      </c>
      <c r="J287" s="30" cm="1">
        <f t="array" ref="J287">IF($E287="","",IFERROR(_xlfn.IFS($D287="trọn gói",$F287*1%,$D287="tự lắp",$F287*0.8%,$D287="phân phối",$F287*0.2%),""))</f>
        <v>961922.4</v>
      </c>
      <c r="K287" s="11"/>
    </row>
    <row r="288" spans="1:11" ht="125">
      <c r="A288" s="4" t="s">
        <v>436</v>
      </c>
      <c r="B288" s="12" t="s">
        <v>378</v>
      </c>
      <c r="C288" s="4" t="s">
        <v>8</v>
      </c>
      <c r="D288" s="4" t="s">
        <v>480</v>
      </c>
      <c r="E288" s="9" t="s">
        <v>437</v>
      </c>
      <c r="F288" s="10">
        <v>111000000</v>
      </c>
      <c r="G288" s="10">
        <v>11100000</v>
      </c>
      <c r="H288" s="34">
        <v>99900000</v>
      </c>
      <c r="I288" s="8" t="str">
        <f>IF($E288="","",IFERROR(IF(N($H288)&lt;&gt;0,"Chưa thanh toán đủ","Đã thanh toán đủ"),""))</f>
        <v>Chưa thanh toán đủ</v>
      </c>
      <c r="J288" s="30" cm="1">
        <f t="array" ref="J288">IF($E288="","",IFERROR(_xlfn.IFS($D288="trọn gói",$F288*1%,$D288="tự lắp",$F288*0.8%,$D288="phân phối",$F288*0.2%),""))</f>
        <v>1110000</v>
      </c>
      <c r="K288" s="11"/>
    </row>
    <row r="289" spans="1:11" ht="25">
      <c r="A289" s="4" t="s">
        <v>49</v>
      </c>
      <c r="B289" s="12" t="s">
        <v>438</v>
      </c>
      <c r="C289" s="4" t="s">
        <v>8</v>
      </c>
      <c r="D289" s="4" t="s">
        <v>480</v>
      </c>
      <c r="E289" s="9" t="s">
        <v>439</v>
      </c>
      <c r="F289" s="10">
        <v>46000000</v>
      </c>
      <c r="G289" s="10">
        <v>3000000</v>
      </c>
      <c r="H289" s="34">
        <f t="shared" ref="H289:H293" si="43">F289-G289</f>
        <v>43000000</v>
      </c>
      <c r="I289" s="8" t="str">
        <f>IF($E289="","",IFERROR(IF(N($H289)&lt;&gt;0,"Chưa thanh toán đủ","Đã thanh toán đủ"),""))</f>
        <v>Chưa thanh toán đủ</v>
      </c>
      <c r="J289" s="30" cm="1">
        <f t="array" ref="J289">IF($E289="","",IFERROR(_xlfn.IFS($D289="trọn gói",$F289*1%,$D289="tự lắp",$F289*0.8%,$D289="phân phối",$F289*0.2%),""))</f>
        <v>460000</v>
      </c>
      <c r="K289" s="11"/>
    </row>
    <row r="290" spans="1:11" ht="25">
      <c r="A290" s="4" t="s">
        <v>49</v>
      </c>
      <c r="B290" s="12" t="s">
        <v>438</v>
      </c>
      <c r="C290" s="4" t="s">
        <v>8</v>
      </c>
      <c r="D290" s="4" t="s">
        <v>480</v>
      </c>
      <c r="E290" s="9" t="s">
        <v>440</v>
      </c>
      <c r="F290" s="10">
        <v>132000000</v>
      </c>
      <c r="G290" s="10">
        <v>5000000</v>
      </c>
      <c r="H290" s="34">
        <f t="shared" si="43"/>
        <v>127000000</v>
      </c>
      <c r="I290" s="8" t="str">
        <f>IF($E290="","",IFERROR(IF(N($H290)&lt;&gt;0,"Chưa thanh toán đủ","Đã thanh toán đủ"),""))</f>
        <v>Chưa thanh toán đủ</v>
      </c>
      <c r="J290" s="30" cm="1">
        <f t="array" ref="J290">IF($E290="","",IFERROR(_xlfn.IFS($D290="trọn gói",$F290*1%,$D290="tự lắp",$F290*0.8%,$D290="phân phối",$F290*0.2%),""))</f>
        <v>1320000</v>
      </c>
      <c r="K290" s="11"/>
    </row>
    <row r="291" spans="1:11" ht="12.5">
      <c r="A291" s="4" t="s">
        <v>49</v>
      </c>
      <c r="B291" s="12" t="s">
        <v>438</v>
      </c>
      <c r="C291" s="4" t="s">
        <v>8</v>
      </c>
      <c r="D291" s="4" t="s">
        <v>480</v>
      </c>
      <c r="E291" s="9" t="s">
        <v>441</v>
      </c>
      <c r="F291" s="10">
        <v>162000000</v>
      </c>
      <c r="G291" s="10">
        <f t="shared" ref="G291:G295" si="44">F291</f>
        <v>162000000</v>
      </c>
      <c r="H291" s="34">
        <f t="shared" si="43"/>
        <v>0</v>
      </c>
      <c r="I291" s="8" t="str">
        <f>IF($E291="","",IFERROR(IF(N($H291)&lt;&gt;0,"Chưa thanh toán đủ","Đã thanh toán đủ"),""))</f>
        <v>Đã thanh toán đủ</v>
      </c>
      <c r="J291" s="30" cm="1">
        <f t="array" ref="J291">IF($E291="","",IFERROR(_xlfn.IFS($D291="trọn gói",$F291*1%,$D291="tự lắp",$F291*0.8%,$D291="phân phối",$F291*0.2%),""))</f>
        <v>1620000</v>
      </c>
      <c r="K291" s="11"/>
    </row>
    <row r="292" spans="1:11" ht="12.5">
      <c r="A292" s="4" t="s">
        <v>49</v>
      </c>
      <c r="B292" s="12" t="s">
        <v>438</v>
      </c>
      <c r="C292" s="4" t="s">
        <v>8</v>
      </c>
      <c r="D292" s="4" t="s">
        <v>480</v>
      </c>
      <c r="E292" s="9" t="s">
        <v>442</v>
      </c>
      <c r="F292" s="10">
        <v>32000000</v>
      </c>
      <c r="G292" s="10">
        <f t="shared" si="44"/>
        <v>32000000</v>
      </c>
      <c r="H292" s="34">
        <f t="shared" si="43"/>
        <v>0</v>
      </c>
      <c r="I292" s="8" t="str">
        <f>IF($E292="","",IFERROR(IF(N($H292)&lt;&gt;0,"Chưa thanh toán đủ","Đã thanh toán đủ"),""))</f>
        <v>Đã thanh toán đủ</v>
      </c>
      <c r="J292" s="30" cm="1">
        <f t="array" ref="J292">IF($E292="","",IFERROR(_xlfn.IFS($D292="trọn gói",$F292*1%,$D292="tự lắp",$F292*0.8%,$D292="phân phối",$F292*0.2%),""))</f>
        <v>320000</v>
      </c>
      <c r="K292" s="11"/>
    </row>
    <row r="293" spans="1:11" ht="12.5">
      <c r="A293" s="4" t="s">
        <v>49</v>
      </c>
      <c r="B293" s="12" t="s">
        <v>438</v>
      </c>
      <c r="C293" s="4" t="s">
        <v>8</v>
      </c>
      <c r="D293" s="4" t="s">
        <v>480</v>
      </c>
      <c r="E293" s="9" t="s">
        <v>443</v>
      </c>
      <c r="F293" s="10">
        <v>69000000</v>
      </c>
      <c r="G293" s="10">
        <f t="shared" si="44"/>
        <v>69000000</v>
      </c>
      <c r="H293" s="34">
        <f t="shared" si="43"/>
        <v>0</v>
      </c>
      <c r="I293" s="8" t="str">
        <f>IF($E293="","",IFERROR(IF(N($H293)&lt;&gt;0,"Chưa thanh toán đủ","Đã thanh toán đủ"),""))</f>
        <v>Đã thanh toán đủ</v>
      </c>
      <c r="J293" s="30" cm="1">
        <f t="array" ref="J293">IF($E293="","",IFERROR(_xlfn.IFS($D293="trọn gói",$F293*1%,$D293="tự lắp",$F293*0.8%,$D293="phân phối",$F293*0.2%),""))</f>
        <v>690000</v>
      </c>
      <c r="K293" s="11"/>
    </row>
    <row r="294" spans="1:11" ht="12.5">
      <c r="A294" s="4"/>
      <c r="B294" s="12" t="s">
        <v>438</v>
      </c>
      <c r="C294" s="4" t="s">
        <v>8</v>
      </c>
      <c r="D294" s="4" t="s">
        <v>480</v>
      </c>
      <c r="E294" s="9"/>
      <c r="F294" s="10">
        <f>SUM(F289:F293)</f>
        <v>441000000</v>
      </c>
      <c r="G294" s="10">
        <f t="shared" si="44"/>
        <v>441000000</v>
      </c>
      <c r="H294" s="34"/>
      <c r="I294" s="8" t="str">
        <f>IF($E294="","",IFERROR(IF(N($H294)&lt;&gt;0,"Chưa thanh toán đủ","Đã thanh toán đủ"),""))</f>
        <v/>
      </c>
      <c r="J294" s="30" t="str" cm="1">
        <f t="array" ref="J294">IF($E294="","",IFERROR(_xlfn.IFS($D294="trọn gói",$F294*1%,$D294="tự lắp",$F294*0.8%,$D294="phân phối",$F294*0.2%),""))</f>
        <v/>
      </c>
      <c r="K294" s="11"/>
    </row>
    <row r="295" spans="1:11" ht="75">
      <c r="A295" s="4" t="s">
        <v>288</v>
      </c>
      <c r="B295" s="12" t="s">
        <v>438</v>
      </c>
      <c r="C295" s="4" t="s">
        <v>23</v>
      </c>
      <c r="D295" s="4" t="s">
        <v>480</v>
      </c>
      <c r="E295" s="9" t="s">
        <v>444</v>
      </c>
      <c r="F295" s="10" t="s">
        <v>445</v>
      </c>
      <c r="G295" s="10" t="str">
        <f t="shared" si="44"/>
        <v>HUỶ</v>
      </c>
      <c r="H295" s="34" t="e">
        <f t="shared" ref="H295:H300" si="45">F295-G295</f>
        <v>#VALUE!</v>
      </c>
      <c r="I295" s="8" t="str">
        <f>IF($E295="","",IFERROR(IF(N($H295)&lt;&gt;0,"Chưa thanh toán đủ","Đã thanh toán đủ"),""))</f>
        <v/>
      </c>
      <c r="J295" s="30" t="str" cm="1">
        <f t="array" ref="J295">IF($E295="","",IFERROR(_xlfn.IFS($D295="trọn gói",$F295*1%,$D295="tự lắp",$F295*0.8%,$D295="phân phối",$F295*0.2%),""))</f>
        <v/>
      </c>
      <c r="K295" s="11"/>
    </row>
    <row r="296" spans="1:11" ht="100">
      <c r="A296" s="4" t="s">
        <v>288</v>
      </c>
      <c r="B296" s="12" t="s">
        <v>438</v>
      </c>
      <c r="C296" s="4" t="s">
        <v>8</v>
      </c>
      <c r="D296" s="4" t="s">
        <v>480</v>
      </c>
      <c r="E296" s="9" t="s">
        <v>446</v>
      </c>
      <c r="F296" s="10">
        <v>205100000</v>
      </c>
      <c r="G296" s="10">
        <v>205100000</v>
      </c>
      <c r="H296" s="34">
        <f t="shared" si="45"/>
        <v>0</v>
      </c>
      <c r="I296" s="8" t="str">
        <f>IF($E296="","",IFERROR(IF(N($H296)&lt;&gt;0,"Chưa thanh toán đủ","Đã thanh toán đủ"),""))</f>
        <v>Đã thanh toán đủ</v>
      </c>
      <c r="J296" s="30" cm="1">
        <f t="array" ref="J296">IF($E296="","",IFERROR(_xlfn.IFS($D296="trọn gói",$F296*1%,$D296="tự lắp",$F296*0.8%,$D296="phân phối",$F296*0.2%),""))</f>
        <v>2051000</v>
      </c>
      <c r="K296" s="11"/>
    </row>
    <row r="297" spans="1:11" ht="75">
      <c r="A297" s="4" t="s">
        <v>288</v>
      </c>
      <c r="B297" s="12" t="s">
        <v>438</v>
      </c>
      <c r="C297" s="4" t="s">
        <v>8</v>
      </c>
      <c r="D297" s="4" t="s">
        <v>480</v>
      </c>
      <c r="E297" s="9" t="s">
        <v>447</v>
      </c>
      <c r="F297" s="10">
        <v>62000000</v>
      </c>
      <c r="G297" s="10">
        <v>62000000</v>
      </c>
      <c r="H297" s="34">
        <f t="shared" si="45"/>
        <v>0</v>
      </c>
      <c r="I297" s="8" t="str">
        <f>IF($E297="","",IFERROR(IF(N($H297)&lt;&gt;0,"Chưa thanh toán đủ","Đã thanh toán đủ"),""))</f>
        <v>Đã thanh toán đủ</v>
      </c>
      <c r="J297" s="30" cm="1">
        <f t="array" ref="J297">IF($E297="","",IFERROR(_xlfn.IFS($D297="trọn gói",$F297*1%,$D297="tự lắp",$F297*0.8%,$D297="phân phối",$F297*0.2%),""))</f>
        <v>620000</v>
      </c>
      <c r="K297" s="11"/>
    </row>
    <row r="298" spans="1:11" ht="100">
      <c r="A298" s="4" t="s">
        <v>288</v>
      </c>
      <c r="B298" s="12" t="s">
        <v>438</v>
      </c>
      <c r="C298" s="4" t="s">
        <v>8</v>
      </c>
      <c r="D298" s="4" t="s">
        <v>480</v>
      </c>
      <c r="E298" s="9" t="s">
        <v>448</v>
      </c>
      <c r="F298" s="10">
        <v>132000000</v>
      </c>
      <c r="G298" s="10">
        <v>132000000</v>
      </c>
      <c r="H298" s="34">
        <f t="shared" si="45"/>
        <v>0</v>
      </c>
      <c r="I298" s="8" t="str">
        <f>IF($E298="","",IFERROR(IF(N($H298)&lt;&gt;0,"Chưa thanh toán đủ","Đã thanh toán đủ"),""))</f>
        <v>Đã thanh toán đủ</v>
      </c>
      <c r="J298" s="30" cm="1">
        <f t="array" ref="J298">IF($E298="","",IFERROR(_xlfn.IFS($D298="trọn gói",$F298*1%,$D298="tự lắp",$F298*0.8%,$D298="phân phối",$F298*0.2%),""))</f>
        <v>1320000</v>
      </c>
      <c r="K298" s="11" t="s">
        <v>449</v>
      </c>
    </row>
    <row r="299" spans="1:11" ht="37.5">
      <c r="A299" s="4" t="s">
        <v>288</v>
      </c>
      <c r="B299" s="12" t="s">
        <v>438</v>
      </c>
      <c r="C299" s="4" t="s">
        <v>8</v>
      </c>
      <c r="D299" s="4" t="s">
        <v>480</v>
      </c>
      <c r="E299" s="9" t="s">
        <v>450</v>
      </c>
      <c r="F299" s="10">
        <v>132000000</v>
      </c>
      <c r="G299" s="10">
        <v>132000000</v>
      </c>
      <c r="H299" s="34">
        <f t="shared" si="45"/>
        <v>0</v>
      </c>
      <c r="I299" s="8" t="str">
        <f>IF($E299="","",IFERROR(IF(N($H299)&lt;&gt;0,"Chưa thanh toán đủ","Đã thanh toán đủ"),""))</f>
        <v>Đã thanh toán đủ</v>
      </c>
      <c r="J299" s="30" cm="1">
        <f t="array" ref="J299">IF($E299="","",IFERROR(_xlfn.IFS($D299="trọn gói",$F299*1%,$D299="tự lắp",$F299*0.8%,$D299="phân phối",$F299*0.2%),""))</f>
        <v>1320000</v>
      </c>
      <c r="K299" s="11"/>
    </row>
    <row r="300" spans="1:11" ht="125">
      <c r="A300" s="4" t="s">
        <v>288</v>
      </c>
      <c r="B300" s="12" t="s">
        <v>438</v>
      </c>
      <c r="C300" s="4" t="s">
        <v>8</v>
      </c>
      <c r="D300" s="4" t="s">
        <v>480</v>
      </c>
      <c r="E300" s="9" t="s">
        <v>451</v>
      </c>
      <c r="F300" s="10">
        <v>119000000</v>
      </c>
      <c r="G300" s="10">
        <v>35700000</v>
      </c>
      <c r="H300" s="34">
        <f t="shared" si="45"/>
        <v>83300000</v>
      </c>
      <c r="I300" s="8" t="str">
        <f>IF($E300="","",IFERROR(IF(N($H300)&lt;&gt;0,"Chưa thanh toán đủ","Đã thanh toán đủ"),""))</f>
        <v>Chưa thanh toán đủ</v>
      </c>
      <c r="J300" s="30" cm="1">
        <f t="array" ref="J300">IF($E300="","",IFERROR(_xlfn.IFS($D300="trọn gói",$F300*1%,$D300="tự lắp",$F300*0.8%,$D300="phân phối",$F300*0.2%),""))</f>
        <v>1190000</v>
      </c>
      <c r="K300" s="11"/>
    </row>
    <row r="301" spans="1:11" ht="12.5">
      <c r="A301" s="4"/>
      <c r="B301" s="12" t="s">
        <v>438</v>
      </c>
      <c r="C301" s="4" t="s">
        <v>8</v>
      </c>
      <c r="D301" s="4" t="s">
        <v>480</v>
      </c>
      <c r="E301" s="9"/>
      <c r="F301" s="10">
        <f>SUM(F295:F300)</f>
        <v>650100000</v>
      </c>
      <c r="G301" s="10">
        <f>F301</f>
        <v>650100000</v>
      </c>
      <c r="H301" s="34"/>
      <c r="I301" s="8" t="str">
        <f>IF($E301="","",IFERROR(IF(N($H301)&lt;&gt;0,"Chưa thanh toán đủ","Đã thanh toán đủ"),""))</f>
        <v/>
      </c>
      <c r="J301" s="30" t="str" cm="1">
        <f t="array" ref="J301">IF($E301="","",IFERROR(_xlfn.IFS($D301="trọn gói",$F301*1%,$D301="tự lắp",$F301*0.8%,$D301="phân phối",$F301*0.2%),""))</f>
        <v/>
      </c>
      <c r="K301" s="11"/>
    </row>
    <row r="302" spans="1:11" ht="50">
      <c r="A302" s="4" t="s">
        <v>6</v>
      </c>
      <c r="B302" s="12" t="s">
        <v>438</v>
      </c>
      <c r="C302" s="4" t="s">
        <v>8</v>
      </c>
      <c r="D302" s="4" t="s">
        <v>480</v>
      </c>
      <c r="E302" s="9" t="s">
        <v>452</v>
      </c>
      <c r="F302" s="10">
        <v>310394000</v>
      </c>
      <c r="G302" s="10">
        <f>F302</f>
        <v>310394000</v>
      </c>
      <c r="H302" s="34">
        <f t="shared" ref="H302:H303" si="46">F302-G302</f>
        <v>0</v>
      </c>
      <c r="I302" s="8" t="str">
        <f>IF($E302="","",IFERROR(IF(N($H302)&lt;&gt;0,"Chưa thanh toán đủ","Đã thanh toán đủ"),""))</f>
        <v>Đã thanh toán đủ</v>
      </c>
      <c r="J302" s="30" cm="1">
        <f t="array" ref="J302">IF($E302="","",IFERROR(_xlfn.IFS($D302="trọn gói",$F302*1%,$D302="tự lắp",$F302*0.8%,$D302="phân phối",$F302*0.2%),""))</f>
        <v>3103940</v>
      </c>
      <c r="K302" s="11" t="s">
        <v>453</v>
      </c>
    </row>
    <row r="303" spans="1:11" ht="50">
      <c r="A303" s="4" t="s">
        <v>6</v>
      </c>
      <c r="B303" s="12" t="s">
        <v>438</v>
      </c>
      <c r="C303" s="4" t="s">
        <v>8</v>
      </c>
      <c r="D303" s="4" t="s">
        <v>479</v>
      </c>
      <c r="E303" s="9" t="s">
        <v>454</v>
      </c>
      <c r="F303" s="10">
        <v>328912500</v>
      </c>
      <c r="G303" s="10">
        <f>F303-30000000</f>
        <v>298912500</v>
      </c>
      <c r="H303" s="34">
        <f t="shared" si="46"/>
        <v>30000000</v>
      </c>
      <c r="I303" s="8" t="str">
        <f>IF($E303="","",IFERROR(IF(N($H303)&lt;&gt;0,"Chưa thanh toán đủ","Đã thanh toán đủ"),""))</f>
        <v>Chưa thanh toán đủ</v>
      </c>
      <c r="J303" s="30" cm="1">
        <f t="array" ref="J303">IF($E303="","",IFERROR(_xlfn.IFS($D303="trọn gói",$F303*1%,$D303="tự lắp",$F303*0.8%,$D303="phân phối",$F303*0.2%),""))</f>
        <v>2631300</v>
      </c>
      <c r="K303" s="11" t="s">
        <v>455</v>
      </c>
    </row>
    <row r="304" spans="1:11" ht="62.5">
      <c r="A304" s="4" t="s">
        <v>6</v>
      </c>
      <c r="B304" s="12" t="s">
        <v>438</v>
      </c>
      <c r="C304" s="4" t="s">
        <v>8</v>
      </c>
      <c r="D304" s="4" t="s">
        <v>479</v>
      </c>
      <c r="E304" s="9" t="s">
        <v>456</v>
      </c>
      <c r="F304" s="10">
        <v>47628000</v>
      </c>
      <c r="G304" s="10">
        <f t="shared" ref="G304:G305" si="47">F304</f>
        <v>47628000</v>
      </c>
      <c r="H304" s="34"/>
      <c r="I304" s="8" t="str">
        <f>IF($E304="","",IFERROR(IF(N($H304)&lt;&gt;0,"Chưa thanh toán đủ","Đã thanh toán đủ"),""))</f>
        <v>Đã thanh toán đủ</v>
      </c>
      <c r="J304" s="30" cm="1">
        <f t="array" ref="J304">IF($E304="","",IFERROR(_xlfn.IFS($D304="trọn gói",$F304*1%,$D304="tự lắp",$F304*0.8%,$D304="phân phối",$F304*0.2%),""))</f>
        <v>381024</v>
      </c>
      <c r="K304" s="11"/>
    </row>
    <row r="305" spans="1:11" ht="37.5">
      <c r="A305" s="4" t="s">
        <v>6</v>
      </c>
      <c r="B305" s="12" t="s">
        <v>438</v>
      </c>
      <c r="C305" s="4" t="s">
        <v>8</v>
      </c>
      <c r="D305" s="4" t="s">
        <v>480</v>
      </c>
      <c r="E305" s="9" t="s">
        <v>457</v>
      </c>
      <c r="F305" s="10">
        <v>43600000</v>
      </c>
      <c r="G305" s="10">
        <f t="shared" si="47"/>
        <v>43600000</v>
      </c>
      <c r="H305" s="34"/>
      <c r="I305" s="8" t="str">
        <f>IF($E305="","",IFERROR(IF(N($H305)&lt;&gt;0,"Chưa thanh toán đủ","Đã thanh toán đủ"),""))</f>
        <v>Đã thanh toán đủ</v>
      </c>
      <c r="J305" s="30" cm="1">
        <f t="array" ref="J305">IF($E305="","",IFERROR(_xlfn.IFS($D305="trọn gói",$F305*1%,$D305="tự lắp",$F305*0.8%,$D305="phân phối",$F305*0.2%),""))</f>
        <v>436000</v>
      </c>
      <c r="K305" s="11"/>
    </row>
    <row r="306" spans="1:11" ht="75">
      <c r="A306" s="4" t="s">
        <v>6</v>
      </c>
      <c r="B306" s="12" t="s">
        <v>438</v>
      </c>
      <c r="C306" s="4" t="s">
        <v>8</v>
      </c>
      <c r="D306" s="4" t="s">
        <v>480</v>
      </c>
      <c r="E306" s="9" t="s">
        <v>458</v>
      </c>
      <c r="F306" s="10">
        <v>133000000</v>
      </c>
      <c r="G306" s="10">
        <v>10000000</v>
      </c>
      <c r="H306" s="34"/>
      <c r="I306" s="8" t="str">
        <f>IF($E306="","",IFERROR(IF(N($H306)&lt;&gt;0,"Chưa thanh toán đủ","Đã thanh toán đủ"),""))</f>
        <v>Đã thanh toán đủ</v>
      </c>
      <c r="J306" s="30" cm="1">
        <f t="array" ref="J306">IF($E306="","",IFERROR(_xlfn.IFS($D306="trọn gói",$F306*1%,$D306="tự lắp",$F306*0.8%,$D306="phân phối",$F306*0.2%),""))</f>
        <v>1330000</v>
      </c>
      <c r="K306" s="11" t="s">
        <v>459</v>
      </c>
    </row>
    <row r="307" spans="1:11" ht="87.5">
      <c r="A307" s="4" t="s">
        <v>6</v>
      </c>
      <c r="B307" s="12" t="s">
        <v>438</v>
      </c>
      <c r="C307" s="4" t="s">
        <v>8</v>
      </c>
      <c r="D307" s="4" t="s">
        <v>480</v>
      </c>
      <c r="E307" s="9" t="s">
        <v>460</v>
      </c>
      <c r="F307" s="10">
        <v>99385640</v>
      </c>
      <c r="G307" s="10">
        <f>F307</f>
        <v>99385640</v>
      </c>
      <c r="H307" s="34"/>
      <c r="I307" s="8" t="str">
        <f>IF($E307="","",IFERROR(IF(N($H307)&lt;&gt;0,"Chưa thanh toán đủ","Đã thanh toán đủ"),""))</f>
        <v>Đã thanh toán đủ</v>
      </c>
      <c r="J307" s="30" cm="1">
        <f t="array" ref="J307">IF($E307="","",IFERROR(_xlfn.IFS($D307="trọn gói",$F307*1%,$D307="tự lắp",$F307*0.8%,$D307="phân phối",$F307*0.2%),""))</f>
        <v>993856.4</v>
      </c>
      <c r="K307" s="11"/>
    </row>
    <row r="308" spans="1:11" ht="50">
      <c r="A308" s="4" t="s">
        <v>6</v>
      </c>
      <c r="B308" s="12" t="s">
        <v>438</v>
      </c>
      <c r="C308" s="4" t="s">
        <v>8</v>
      </c>
      <c r="D308" s="4" t="s">
        <v>480</v>
      </c>
      <c r="E308" s="9" t="s">
        <v>461</v>
      </c>
      <c r="F308" s="10">
        <v>144000000</v>
      </c>
      <c r="G308" s="10">
        <v>3000000</v>
      </c>
      <c r="H308" s="34"/>
      <c r="I308" s="8" t="str">
        <f>IF($E308="","",IFERROR(IF(N($H308)&lt;&gt;0,"Chưa thanh toán đủ","Đã thanh toán đủ"),""))</f>
        <v>Đã thanh toán đủ</v>
      </c>
      <c r="J308" s="30" cm="1">
        <f t="array" ref="J308">IF($E308="","",IFERROR(_xlfn.IFS($D308="trọn gói",$F308*1%,$D308="tự lắp",$F308*0.8%,$D308="phân phối",$F308*0.2%),""))</f>
        <v>1440000</v>
      </c>
      <c r="K308" s="11" t="s">
        <v>462</v>
      </c>
    </row>
    <row r="309" spans="1:11" ht="25">
      <c r="A309" s="4" t="s">
        <v>6</v>
      </c>
      <c r="B309" s="12" t="s">
        <v>438</v>
      </c>
      <c r="C309" s="4" t="s">
        <v>8</v>
      </c>
      <c r="D309" s="4" t="s">
        <v>480</v>
      </c>
      <c r="E309" s="9" t="s">
        <v>463</v>
      </c>
      <c r="F309" s="10">
        <v>132000000</v>
      </c>
      <c r="G309" s="10">
        <v>122000000</v>
      </c>
      <c r="H309" s="34">
        <v>10000000</v>
      </c>
      <c r="I309" s="8" t="str">
        <f>IF($E309="","",IFERROR(IF(N($H309)&lt;&gt;0,"Chưa thanh toán đủ","Đã thanh toán đủ"),""))</f>
        <v>Chưa thanh toán đủ</v>
      </c>
      <c r="J309" s="30" cm="1">
        <f t="array" ref="J309">IF($E309="","",IFERROR(_xlfn.IFS($D309="trọn gói",$F309*1%,$D309="tự lắp",$F309*0.8%,$D309="phân phối",$F309*0.2%),""))</f>
        <v>1320000</v>
      </c>
      <c r="K309" s="11"/>
    </row>
    <row r="310" spans="1:11" ht="62.5">
      <c r="A310" s="4" t="s">
        <v>6</v>
      </c>
      <c r="B310" s="12" t="s">
        <v>438</v>
      </c>
      <c r="C310" s="4" t="s">
        <v>8</v>
      </c>
      <c r="D310" s="4" t="s">
        <v>479</v>
      </c>
      <c r="E310" s="9" t="s">
        <v>464</v>
      </c>
      <c r="F310" s="10">
        <v>47357200</v>
      </c>
      <c r="G310" s="10">
        <f t="shared" ref="G310:G311" si="48">F310</f>
        <v>47357200</v>
      </c>
      <c r="H310" s="34"/>
      <c r="I310" s="8" t="str">
        <f>IF($E310="","",IFERROR(IF(N($H310)&lt;&gt;0,"Chưa thanh toán đủ","Đã thanh toán đủ"),""))</f>
        <v>Đã thanh toán đủ</v>
      </c>
      <c r="J310" s="30" cm="1">
        <f t="array" ref="J310">IF($E310="","",IFERROR(_xlfn.IFS($D310="trọn gói",$F310*1%,$D310="tự lắp",$F310*0.8%,$D310="phân phối",$F310*0.2%),""))</f>
        <v>378857.60000000003</v>
      </c>
      <c r="K310" s="11" t="s">
        <v>465</v>
      </c>
    </row>
    <row r="311" spans="1:11" ht="25">
      <c r="A311" s="4" t="s">
        <v>6</v>
      </c>
      <c r="B311" s="12" t="s">
        <v>438</v>
      </c>
      <c r="C311" s="4" t="s">
        <v>8</v>
      </c>
      <c r="D311" s="4" t="s">
        <v>479</v>
      </c>
      <c r="E311" s="9" t="s">
        <v>466</v>
      </c>
      <c r="F311" s="10">
        <v>41800000</v>
      </c>
      <c r="G311" s="10">
        <f t="shared" si="48"/>
        <v>41800000</v>
      </c>
      <c r="H311" s="34"/>
      <c r="I311" s="8" t="str">
        <f>IF($E311="","",IFERROR(IF(N($H311)&lt;&gt;0,"Chưa thanh toán đủ","Đã thanh toán đủ"),""))</f>
        <v>Đã thanh toán đủ</v>
      </c>
      <c r="J311" s="30" cm="1">
        <f t="array" ref="J311">IF($E311="","",IFERROR(_xlfn.IFS($D311="trọn gói",$F311*1%,$D311="tự lắp",$F311*0.8%,$D311="phân phối",$F311*0.2%),""))</f>
        <v>334400</v>
      </c>
      <c r="K311" s="11"/>
    </row>
    <row r="312" spans="1:11" ht="25">
      <c r="A312" s="4" t="s">
        <v>6</v>
      </c>
      <c r="B312" s="12" t="s">
        <v>438</v>
      </c>
      <c r="C312" s="4" t="s">
        <v>8</v>
      </c>
      <c r="D312" s="4" t="s">
        <v>479</v>
      </c>
      <c r="E312" s="9" t="s">
        <v>467</v>
      </c>
      <c r="F312" s="10">
        <v>18424000</v>
      </c>
      <c r="G312" s="10">
        <v>10000000</v>
      </c>
      <c r="H312" s="34"/>
      <c r="I312" s="8" t="str">
        <f>IF($E312="","",IFERROR(IF(N($H312)&lt;&gt;0,"Chưa thanh toán đủ","Đã thanh toán đủ"),""))</f>
        <v>Đã thanh toán đủ</v>
      </c>
      <c r="J312" s="30" cm="1">
        <f t="array" ref="J312">IF($E312="","",IFERROR(_xlfn.IFS($D312="trọn gói",$F312*1%,$D312="tự lắp",$F312*0.8%,$D312="phân phối",$F312*0.2%),""))</f>
        <v>147392</v>
      </c>
      <c r="K312" s="11"/>
    </row>
    <row r="313" spans="1:11" ht="12.5">
      <c r="A313" s="4"/>
      <c r="B313" s="12" t="s">
        <v>438</v>
      </c>
      <c r="C313" s="4" t="s">
        <v>8</v>
      </c>
      <c r="D313" s="4" t="s">
        <v>480</v>
      </c>
      <c r="E313" s="9"/>
      <c r="F313" s="10"/>
      <c r="G313" s="10">
        <f>F312+F311+F310+F303+F304</f>
        <v>484121700</v>
      </c>
      <c r="H313" s="34">
        <f>F313-G313</f>
        <v>-484121700</v>
      </c>
      <c r="I313" s="8" t="str">
        <f>IF($E313="","",IFERROR(IF(N($H313)&lt;&gt;0,"Chưa thanh toán đủ","Đã thanh toán đủ"),""))</f>
        <v/>
      </c>
      <c r="J313" s="30" t="str" cm="1">
        <f t="array" ref="J313">IF($E313="","",IFERROR(_xlfn.IFS($D313="trọn gói",$F313*1%,$D313="tự lắp",$F313*0.8%,$D313="phân phối",$F313*0.2%),""))</f>
        <v/>
      </c>
      <c r="K313" s="11"/>
    </row>
    <row r="314" spans="1:11" ht="50">
      <c r="A314" s="4" t="s">
        <v>468</v>
      </c>
      <c r="B314" s="12" t="s">
        <v>438</v>
      </c>
      <c r="C314" s="4" t="s">
        <v>8</v>
      </c>
      <c r="D314" s="4" t="s">
        <v>479</v>
      </c>
      <c r="E314" s="9" t="s">
        <v>469</v>
      </c>
      <c r="F314" s="10"/>
      <c r="G314" s="10">
        <f>F314</f>
        <v>0</v>
      </c>
      <c r="H314" s="34"/>
      <c r="I314" s="8" t="str">
        <f>IF($E314="","",IFERROR(IF(N($H314)&lt;&gt;0,"Chưa thanh toán đủ","Đã thanh toán đủ"),""))</f>
        <v>Đã thanh toán đủ</v>
      </c>
      <c r="J314" s="30" cm="1">
        <f t="array" ref="J314">IF($E314="","",IFERROR(_xlfn.IFS($D314="trọn gói",$F314*1%,$D314="tự lắp",$F314*0.8%,$D314="phân phối",$F314*0.2%),""))</f>
        <v>0</v>
      </c>
      <c r="K314" s="11"/>
    </row>
    <row r="315" spans="1:11" ht="87.5">
      <c r="A315" s="4" t="s">
        <v>62</v>
      </c>
      <c r="B315" s="12" t="s">
        <v>438</v>
      </c>
      <c r="C315" s="4" t="s">
        <v>8</v>
      </c>
      <c r="D315" s="4" t="s">
        <v>479</v>
      </c>
      <c r="E315" s="9" t="s">
        <v>470</v>
      </c>
      <c r="F315" s="10">
        <v>186059600</v>
      </c>
      <c r="G315" s="10">
        <v>55817880</v>
      </c>
      <c r="H315" s="34">
        <f t="shared" ref="H315:H319" si="49">F315-G315</f>
        <v>130241720</v>
      </c>
      <c r="I315" s="8" t="str">
        <f>IF($E315="","",IFERROR(IF(N($H315)&lt;&gt;0,"Chưa thanh toán đủ","Đã thanh toán đủ"),""))</f>
        <v>Chưa thanh toán đủ</v>
      </c>
      <c r="J315" s="30" cm="1">
        <f t="array" ref="J315">IF($E315="","",IFERROR(_xlfn.IFS($D315="trọn gói",$F315*1%,$D315="tự lắp",$F315*0.8%,$D315="phân phối",$F315*0.2%),""))</f>
        <v>1488476.8</v>
      </c>
      <c r="K315" s="11"/>
    </row>
    <row r="316" spans="1:11" ht="37.5">
      <c r="A316" s="4" t="s">
        <v>62</v>
      </c>
      <c r="B316" s="12" t="s">
        <v>438</v>
      </c>
      <c r="C316" s="4" t="s">
        <v>8</v>
      </c>
      <c r="D316" s="4" t="s">
        <v>480</v>
      </c>
      <c r="E316" s="9" t="s">
        <v>471</v>
      </c>
      <c r="F316" s="10">
        <v>123000000</v>
      </c>
      <c r="G316" s="10">
        <v>123000000</v>
      </c>
      <c r="H316" s="34">
        <f t="shared" si="49"/>
        <v>0</v>
      </c>
      <c r="I316" s="8" t="str">
        <f>IF($E316="","",IFERROR(IF(N($H316)&lt;&gt;0,"Chưa thanh toán đủ","Đã thanh toán đủ"),""))</f>
        <v>Đã thanh toán đủ</v>
      </c>
      <c r="J316" s="30" cm="1">
        <f t="array" ref="J316">IF($E316="","",IFERROR(_xlfn.IFS($D316="trọn gói",$F316*1%,$D316="tự lắp",$F316*0.8%,$D316="phân phối",$F316*0.2%),""))</f>
        <v>1230000</v>
      </c>
      <c r="K316" s="11"/>
    </row>
    <row r="317" spans="1:11" ht="87.5">
      <c r="A317" s="4" t="s">
        <v>62</v>
      </c>
      <c r="B317" s="12" t="s">
        <v>438</v>
      </c>
      <c r="C317" s="4" t="s">
        <v>8</v>
      </c>
      <c r="D317" s="4" t="s">
        <v>480</v>
      </c>
      <c r="E317" s="9" t="s">
        <v>472</v>
      </c>
      <c r="F317" s="10">
        <v>603000000</v>
      </c>
      <c r="G317" s="10">
        <f>10000000+490000000</f>
        <v>500000000</v>
      </c>
      <c r="H317" s="34">
        <f t="shared" si="49"/>
        <v>103000000</v>
      </c>
      <c r="I317" s="8" t="str">
        <f>IF($E317="","",IFERROR(IF(N($H317)&lt;&gt;0,"Chưa thanh toán đủ","Đã thanh toán đủ"),""))</f>
        <v>Chưa thanh toán đủ</v>
      </c>
      <c r="J317" s="30" cm="1">
        <f t="array" ref="J317">IF($E317="","",IFERROR(_xlfn.IFS($D317="trọn gói",$F317*1%,$D317="tự lắp",$F317*0.8%,$D317="phân phối",$F317*0.2%),""))</f>
        <v>6030000</v>
      </c>
      <c r="K317" s="11"/>
    </row>
    <row r="318" spans="1:11" ht="87.5">
      <c r="A318" s="4" t="s">
        <v>62</v>
      </c>
      <c r="B318" s="12" t="s">
        <v>438</v>
      </c>
      <c r="C318" s="4" t="s">
        <v>8</v>
      </c>
      <c r="D318" s="4" t="s">
        <v>480</v>
      </c>
      <c r="E318" s="9" t="s">
        <v>473</v>
      </c>
      <c r="F318" s="10">
        <v>147000000</v>
      </c>
      <c r="G318" s="10">
        <f>5000000+142000000</f>
        <v>147000000</v>
      </c>
      <c r="H318" s="34">
        <f t="shared" si="49"/>
        <v>0</v>
      </c>
      <c r="I318" s="8" t="str">
        <f>IF($E318="","",IFERROR(IF(N($H318)&lt;&gt;0,"Chưa thanh toán đủ","Đã thanh toán đủ"),""))</f>
        <v>Đã thanh toán đủ</v>
      </c>
      <c r="J318" s="30" cm="1">
        <f t="array" ref="J318">IF($E318="","",IFERROR(_xlfn.IFS($D318="trọn gói",$F318*1%,$D318="tự lắp",$F318*0.8%,$D318="phân phối",$F318*0.2%),""))</f>
        <v>1470000</v>
      </c>
      <c r="K318" s="11"/>
    </row>
    <row r="319" spans="1:11" ht="75.5">
      <c r="A319" s="4" t="s">
        <v>62</v>
      </c>
      <c r="B319" s="12" t="s">
        <v>438</v>
      </c>
      <c r="C319" s="4" t="s">
        <v>8</v>
      </c>
      <c r="D319" s="4" t="s">
        <v>480</v>
      </c>
      <c r="E319" s="24" t="s">
        <v>474</v>
      </c>
      <c r="F319" s="10">
        <v>345000000</v>
      </c>
      <c r="G319" s="10">
        <f t="shared" ref="G319:G320" si="50">F319</f>
        <v>345000000</v>
      </c>
      <c r="H319" s="34">
        <f t="shared" si="49"/>
        <v>0</v>
      </c>
      <c r="I319" s="8" t="str">
        <f>IF($E319="","",IFERROR(IF(N($H319)&lt;&gt;0,"Chưa thanh toán đủ","Đã thanh toán đủ"),""))</f>
        <v>Đã thanh toán đủ</v>
      </c>
      <c r="J319" s="30" cm="1">
        <f t="array" ref="J319">IF($E319="","",IFERROR(_xlfn.IFS($D319="trọn gói",$F319*1%,$D319="tự lắp",$F319*0.8%,$D319="phân phối",$F319*0.2%),""))</f>
        <v>3450000</v>
      </c>
      <c r="K319" s="11"/>
    </row>
    <row r="320" spans="1:11" ht="15.5">
      <c r="A320" s="4"/>
      <c r="B320" s="12" t="s">
        <v>438</v>
      </c>
      <c r="C320" s="4" t="s">
        <v>8</v>
      </c>
      <c r="D320" s="4" t="s">
        <v>480</v>
      </c>
      <c r="E320" s="25"/>
      <c r="F320" s="10">
        <f>SUM(F315:F319)</f>
        <v>1404059600</v>
      </c>
      <c r="G320" s="10">
        <f t="shared" si="50"/>
        <v>1404059600</v>
      </c>
      <c r="H320" s="34"/>
      <c r="I320" s="8" t="str">
        <f>IF($E320="","",IFERROR(IF(N($H320)&lt;&gt;0,"Chưa thanh toán đủ","Đã thanh toán đủ"),""))</f>
        <v/>
      </c>
      <c r="J320" s="30" t="str" cm="1">
        <f t="array" ref="J320">IF($E320="","",IFERROR(_xlfn.IFS($D320="trọn gói",$F320*1%,$D320="tự lắp",$F320*0.8%,$D320="phân phối",$F320*0.2%),""))</f>
        <v/>
      </c>
      <c r="K320" s="11"/>
    </row>
    <row r="321" spans="1:11" ht="37.5">
      <c r="A321" s="4" t="s">
        <v>49</v>
      </c>
      <c r="B321" s="12" t="s">
        <v>475</v>
      </c>
      <c r="C321" s="4" t="s">
        <v>8</v>
      </c>
      <c r="D321" s="4" t="s">
        <v>480</v>
      </c>
      <c r="E321" s="9" t="s">
        <v>476</v>
      </c>
      <c r="F321" s="10">
        <v>134000000</v>
      </c>
      <c r="G321" s="10">
        <v>5000000</v>
      </c>
      <c r="H321" s="34">
        <f>F321-G321</f>
        <v>129000000</v>
      </c>
      <c r="I321" s="8" t="str">
        <f>IF($E321="","",IFERROR(IF(N($H321)&lt;&gt;0,"Chưa thanh toán đủ","Đã thanh toán đủ"),""))</f>
        <v>Chưa thanh toán đủ</v>
      </c>
      <c r="J321" s="30" cm="1">
        <f t="array" ref="J321">IF($E321="","",IFERROR(_xlfn.IFS($D321="trọn gói",$F321*1%,$D321="tự lắp",$F321*0.8%,$D321="phân phối",$F321*0.2%),""))</f>
        <v>1340000</v>
      </c>
      <c r="K321" s="11"/>
    </row>
  </sheetData>
  <autoFilter ref="A286:A288" xr:uid="{00000000-0009-0000-0000-000000000000}"/>
  <dataValidations count="8">
    <dataValidation type="list" allowBlank="1" sqref="I2:I321" xr:uid="{32D5743A-0C74-4A95-9360-7B9BB5940F86}">
      <formula1>"Gọi lại sau,gọi không bắt máy,khách chỉ tham khảo,Đã liên hệ khách hàng,Đã báo giá,Đã khảo sát,Đã khảo sát và báo giá,Đã đặt cọc,Đã lắp đặt,Đã thanh toán đủ,đã lên hợp đồng,Đợi Khảo sát,Đóng,đã tạo nhóm tư vấn,đưa đối tác ,Liên hệ nhắc lại,đã liên hệ lại,"&amp;"thuê bao,Đợi liên hệ xếp lịch khảo sát "</formula1>
    </dataValidation>
    <dataValidation type="list" allowBlank="1" sqref="D60 D71" xr:uid="{9E7B8C9C-7F84-4CF6-BD74-A3C476324EEC}">
      <formula1>"Facebook,Tiktok,DAT,khách tự lắp,khách trọn gói,khách sale đưa về,MKT,KHÁCH CŨ GIỚI THIỆU,sale tự kiếm,gói nhân công, vtu phụ,đối tác"</formula1>
    </dataValidation>
    <dataValidation type="list" allowBlank="1" sqref="C2:C8" xr:uid="{E45C78A5-3E1B-46FC-86E1-313C0398FC16}">
      <formula1>"DAT,MKT,KHÁCH CŨ GIỚI THIỆU,sale tự kiếm"</formula1>
    </dataValidation>
    <dataValidation type="list" allowBlank="1" sqref="A288" xr:uid="{C8B6799E-380E-4CCA-8BBE-7FEB0A4767D8}">
      <formula1>"Vân,Đức,Thanh An,Anh Tiến,Chị Tuyền,Đưa cho đối tác,Anh Thanh,a Tùng,Thúy An,Thùy Dương,Thùy Dương và An nè ,Ngọc Bình,Team 1,Team 2,Thanh và Vân,Huỳnh,My,Kim Riên,Bảo,Huyền"</formula1>
    </dataValidation>
    <dataValidation type="list" allowBlank="1" sqref="D2:D8 C9:D59 C60 C61:D70 C71 C213:D321 C206 C72:D205" xr:uid="{D3869464-E0B3-4060-8FAA-35BB0AF69A94}">
      <formula1>"Facebook,Tiktok,DAT,khách tự lắp,khách trọn gói,khách sale đưa về,MKT,KHÁCH CŨ GIỚI THIỆU,sale tự kiếm,gói nhân công, vtu phụ"</formula1>
    </dataValidation>
    <dataValidation type="list" allowBlank="1" sqref="A286:A287" xr:uid="{BF1D3635-3394-493F-AC13-7A7902D050DA}">
      <formula1>"Vân,Đức,Thanh An,Anh Tiến,Chị Tuyền,Đưa cho đối tác,Anh Thanh,a Tùng,Thúy An,Thùy Dương,Thùy Dương và An nè ,Ngọc Bình,Team 1,Team 2,Thanh và Vân,Huỳnh,My,Kim Riên,Bảo,Nhi"</formula1>
    </dataValidation>
    <dataValidation type="list" allowBlank="1" sqref="A289:A321 A213:A285 A137:A191 A2:A128" xr:uid="{C4191167-4AE5-4131-9219-15D0521EDA52}">
      <formula1>"Vân,Đức,Thanh An,Anh Tiến,Chị Tuyền,Đưa cho đối tác,Anh Thanh,a Tùng,Thúy An,Thùy Dương,Thùy Dương và An nè ,Ngọc Bình,Team 1,Team 2,Thanh và Vân,Huỳnh,My,Kim Riên,Bảo,Tuyết Nhi"</formula1>
    </dataValidation>
    <dataValidation type="list" allowBlank="1" sqref="A129:A136 A192:A212" xr:uid="{C4DC73DA-E4B4-4CBB-B07D-36196578E9B9}">
      <formula1>"Vân,Đức,Thanh An,Anh Tiến,Chị Tuyền,Đưa cho đối tác,Anh Thanh,a Tùng,Thúy An,Thùy Dương,Thùy Dương và An nè ,Ngọc Bình,Team 1,Team 2,Thanh và Vân,Huỳnh,My,Kim Riên,Ngọc Tân"</formula1>
    </dataValidation>
  </dataValidations>
  <printOptions horizontalCentered="1" gridLines="1"/>
  <pageMargins left="0.7" right="0.7" top="0.75" bottom="0.75" header="0" footer="0"/>
  <pageSetup paperSize="9" fitToHeight="0" pageOrder="overThenDown" orientation="landscape" cellComments="atEnd"/>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KH đã lắp đặt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Hữu Đức Tô</cp:lastModifiedBy>
  <dcterms:created xsi:type="dcterms:W3CDTF">2026-08-19T08:49:42Z</dcterms:created>
  <dcterms:modified xsi:type="dcterms:W3CDTF">2026-08-19T10:07:57Z</dcterms:modified>
</cp:coreProperties>
</file>