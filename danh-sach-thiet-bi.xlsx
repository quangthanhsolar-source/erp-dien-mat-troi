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heckCompatibility="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8_{D4944A8B-DF81-4097-B7F6-1C9F7E523076}" xr6:coauthVersionLast="47" xr6:coauthVersionMax="47" xr10:uidLastSave="{00000000-0000-0000-0000-000000000000}"/>
  <bookViews>
    <workbookView xWindow="-110" yWindow="-110" windowWidth="19420" windowHeight="10300" tabRatio="734" xr2:uid="{00000000-000D-0000-FFFF-FFFF00000000}"/>
  </bookViews>
  <sheets>
    <sheet name="Bảng giá tổng" sheetId="8" r:id="rId1"/>
  </sheets>
  <definedNames>
    <definedName name="VATU1">INDEX(#REF!,MATCH(#REF!,#REF!,0),2)</definedName>
    <definedName name="VATU2">INDEX(#REF!,MATCH(#REF!,#REF!,0),2)</definedName>
    <definedName name="VATU3">INDEX(#REF!,MATCH(#REF!,#REF!,0),2)</definedName>
    <definedName name="VATU4">INDEX(#REF!,MATCH(#REF!,#REF!,0),2)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8" i="8" l="1"/>
  <c r="H6" i="8"/>
  <c r="H5" i="8"/>
  <c r="K5" i="8" s="1"/>
  <c r="H4" i="8"/>
  <c r="K4" i="8" s="1"/>
  <c r="I132" i="8"/>
  <c r="J132" i="8"/>
  <c r="K132" i="8"/>
  <c r="K133" i="8"/>
  <c r="J133" i="8"/>
  <c r="I133" i="8"/>
  <c r="I170" i="8"/>
  <c r="J170" i="8"/>
  <c r="K170" i="8"/>
  <c r="I169" i="8"/>
  <c r="J169" i="8"/>
  <c r="K169" i="8"/>
  <c r="I180" i="8"/>
  <c r="J180" i="8"/>
  <c r="K180" i="8"/>
  <c r="K85" i="8"/>
  <c r="K86" i="8"/>
  <c r="J85" i="8"/>
  <c r="J86" i="8"/>
  <c r="I85" i="8"/>
  <c r="I86" i="8"/>
  <c r="I84" i="8"/>
  <c r="J84" i="8"/>
  <c r="K84" i="8"/>
  <c r="K89" i="8"/>
  <c r="J89" i="8"/>
  <c r="I89" i="8"/>
  <c r="K62" i="8"/>
  <c r="J62" i="8"/>
  <c r="I62" i="8"/>
  <c r="H9" i="8"/>
  <c r="K9" i="8" s="1"/>
  <c r="H3" i="8"/>
  <c r="K3" i="8" s="1"/>
  <c r="I135" i="8"/>
  <c r="J135" i="8"/>
  <c r="K135" i="8"/>
  <c r="I134" i="8"/>
  <c r="J134" i="8"/>
  <c r="K134" i="8"/>
  <c r="I153" i="8"/>
  <c r="J153" i="8"/>
  <c r="K153" i="8"/>
  <c r="I152" i="8"/>
  <c r="J152" i="8"/>
  <c r="K152" i="8"/>
  <c r="I148" i="8"/>
  <c r="J148" i="8"/>
  <c r="K148" i="8"/>
  <c r="I149" i="8"/>
  <c r="J149" i="8"/>
  <c r="K149" i="8"/>
  <c r="K94" i="8"/>
  <c r="J94" i="8"/>
  <c r="I94" i="8"/>
  <c r="K93" i="8"/>
  <c r="J93" i="8"/>
  <c r="I93" i="8"/>
  <c r="I138" i="8"/>
  <c r="J138" i="8"/>
  <c r="K138" i="8"/>
  <c r="I115" i="8"/>
  <c r="J115" i="8"/>
  <c r="K115" i="8"/>
  <c r="I106" i="8"/>
  <c r="J106" i="8"/>
  <c r="K106" i="8"/>
  <c r="I105" i="8"/>
  <c r="J105" i="8"/>
  <c r="K105" i="8"/>
  <c r="K22" i="8"/>
  <c r="K23" i="8"/>
  <c r="J22" i="8"/>
  <c r="J23" i="8"/>
  <c r="I22" i="8"/>
  <c r="I23" i="8"/>
  <c r="I25" i="8"/>
  <c r="J25" i="8"/>
  <c r="K25" i="8"/>
  <c r="I24" i="8"/>
  <c r="J24" i="8"/>
  <c r="K24" i="8"/>
  <c r="K95" i="8"/>
  <c r="J95" i="8"/>
  <c r="I95" i="8"/>
  <c r="I131" i="8"/>
  <c r="J131" i="8"/>
  <c r="K131" i="8"/>
  <c r="I137" i="8"/>
  <c r="J137" i="8"/>
  <c r="K137" i="8"/>
  <c r="I184" i="8"/>
  <c r="J184" i="8"/>
  <c r="K184" i="8"/>
  <c r="I20" i="8"/>
  <c r="J20" i="8"/>
  <c r="K20" i="8"/>
  <c r="I15" i="8"/>
  <c r="J15" i="8"/>
  <c r="K15" i="8"/>
  <c r="K98" i="8"/>
  <c r="J98" i="8"/>
  <c r="I98" i="8"/>
  <c r="K140" i="8"/>
  <c r="K141" i="8"/>
  <c r="K142" i="8"/>
  <c r="J140" i="8"/>
  <c r="J141" i="8"/>
  <c r="J142" i="8"/>
  <c r="I140" i="8"/>
  <c r="I141" i="8"/>
  <c r="I145" i="8"/>
  <c r="J145" i="8"/>
  <c r="K145" i="8"/>
  <c r="I43" i="8"/>
  <c r="J43" i="8"/>
  <c r="K43" i="8"/>
  <c r="K92" i="8"/>
  <c r="J92" i="8"/>
  <c r="I92" i="8"/>
  <c r="I151" i="8"/>
  <c r="J151" i="8"/>
  <c r="K151" i="8"/>
  <c r="I150" i="8"/>
  <c r="J150" i="8"/>
  <c r="K150" i="8"/>
  <c r="K139" i="8"/>
  <c r="K143" i="8"/>
  <c r="K144" i="8"/>
  <c r="K146" i="8"/>
  <c r="K147" i="8"/>
  <c r="J139" i="8"/>
  <c r="J143" i="8"/>
  <c r="J144" i="8"/>
  <c r="J146" i="8"/>
  <c r="J147" i="8"/>
  <c r="I139" i="8"/>
  <c r="I142" i="8"/>
  <c r="I143" i="8"/>
  <c r="I144" i="8"/>
  <c r="I146" i="8"/>
  <c r="I147" i="8"/>
  <c r="K182" i="8"/>
  <c r="K181" i="8"/>
  <c r="K183" i="8"/>
  <c r="K185" i="8"/>
  <c r="J181" i="8"/>
  <c r="J183" i="8"/>
  <c r="J185" i="8"/>
  <c r="I181" i="8"/>
  <c r="I183" i="8"/>
  <c r="I185" i="8"/>
  <c r="I164" i="8"/>
  <c r="J164" i="8"/>
  <c r="K164" i="8"/>
  <c r="I162" i="8"/>
  <c r="J162" i="8"/>
  <c r="K162" i="8"/>
  <c r="I161" i="8"/>
  <c r="J161" i="8"/>
  <c r="K161" i="8"/>
  <c r="I160" i="8"/>
  <c r="J160" i="8"/>
  <c r="K160" i="8"/>
  <c r="I88" i="8"/>
  <c r="J88" i="8"/>
  <c r="K88" i="8"/>
  <c r="I87" i="8"/>
  <c r="J87" i="8"/>
  <c r="K87" i="8"/>
  <c r="I114" i="8"/>
  <c r="J114" i="8"/>
  <c r="K114" i="8"/>
  <c r="I113" i="8"/>
  <c r="J113" i="8"/>
  <c r="K113" i="8"/>
  <c r="K130" i="8"/>
  <c r="J130" i="8"/>
  <c r="I130" i="8"/>
  <c r="I9" i="8" l="1"/>
  <c r="J9" i="8"/>
  <c r="I4" i="8"/>
  <c r="J4" i="8"/>
  <c r="I5" i="8"/>
  <c r="J5" i="8"/>
  <c r="J182" i="8"/>
  <c r="I182" i="8"/>
  <c r="I3" i="8"/>
  <c r="J3" i="8"/>
  <c r="K33" i="8"/>
  <c r="K34" i="8"/>
  <c r="J33" i="8"/>
  <c r="J34" i="8"/>
  <c r="I33" i="8"/>
  <c r="I34" i="8"/>
  <c r="I32" i="8"/>
  <c r="J32" i="8"/>
  <c r="K32" i="8"/>
  <c r="I60" i="8"/>
  <c r="J60" i="8"/>
  <c r="K60" i="8"/>
  <c r="I10" i="8"/>
  <c r="I11" i="8"/>
  <c r="I12" i="8"/>
  <c r="I13" i="8"/>
  <c r="I14" i="8"/>
  <c r="I16" i="8"/>
  <c r="I17" i="8"/>
  <c r="I18" i="8"/>
  <c r="I19" i="8"/>
  <c r="I21" i="8"/>
  <c r="I27" i="8"/>
  <c r="I28" i="8"/>
  <c r="I29" i="8"/>
  <c r="I30" i="8"/>
  <c r="I31" i="8"/>
  <c r="I35" i="8"/>
  <c r="I36" i="8"/>
  <c r="I37" i="8"/>
  <c r="I38" i="8"/>
  <c r="I39" i="8"/>
  <c r="I41" i="8"/>
  <c r="I42" i="8"/>
  <c r="I44" i="8"/>
  <c r="I45" i="8"/>
  <c r="I50" i="8"/>
  <c r="I51" i="8"/>
  <c r="I52" i="8"/>
  <c r="I53" i="8"/>
  <c r="I54" i="8"/>
  <c r="I55" i="8"/>
  <c r="I56" i="8"/>
  <c r="I57" i="8"/>
  <c r="I58" i="8"/>
  <c r="I59" i="8"/>
  <c r="I61" i="8"/>
  <c r="I63" i="8"/>
  <c r="I64" i="8"/>
  <c r="I65" i="8"/>
  <c r="I66" i="8"/>
  <c r="I67" i="8"/>
  <c r="I68" i="8"/>
  <c r="I69" i="8"/>
  <c r="I70" i="8"/>
  <c r="I72" i="8"/>
  <c r="I73" i="8"/>
  <c r="I74" i="8"/>
  <c r="I75" i="8"/>
  <c r="I76" i="8"/>
  <c r="I77" i="8"/>
  <c r="I79" i="8"/>
  <c r="I80" i="8"/>
  <c r="I81" i="8"/>
  <c r="I82" i="8"/>
  <c r="I83" i="8"/>
  <c r="I96" i="8"/>
  <c r="I97" i="8"/>
  <c r="I99" i="8"/>
  <c r="I100" i="8"/>
  <c r="I101" i="8"/>
  <c r="I102" i="8"/>
  <c r="I103" i="8"/>
  <c r="I104" i="8"/>
  <c r="I107" i="8"/>
  <c r="I108" i="8"/>
  <c r="I109" i="8"/>
  <c r="I110" i="8"/>
  <c r="I111" i="8"/>
  <c r="I112" i="8"/>
  <c r="I117" i="8"/>
  <c r="I118" i="8"/>
  <c r="I119" i="8"/>
  <c r="I120" i="8"/>
  <c r="I121" i="8"/>
  <c r="I122" i="8"/>
  <c r="I123" i="8"/>
  <c r="I124" i="8"/>
  <c r="I125" i="8"/>
  <c r="I126" i="8"/>
  <c r="I127" i="8"/>
  <c r="I128" i="8"/>
  <c r="I129" i="8"/>
  <c r="I155" i="8"/>
  <c r="I156" i="8"/>
  <c r="I157" i="8"/>
  <c r="I158" i="8"/>
  <c r="I159" i="8"/>
  <c r="I163" i="8"/>
  <c r="I165" i="8"/>
  <c r="I166" i="8"/>
  <c r="I167" i="8"/>
  <c r="I168" i="8"/>
  <c r="I171" i="8"/>
  <c r="I172" i="8"/>
  <c r="I173" i="8"/>
  <c r="I174" i="8"/>
  <c r="I175" i="8"/>
  <c r="I176" i="8"/>
  <c r="I177" i="8"/>
  <c r="I178" i="8"/>
  <c r="I179" i="8"/>
  <c r="K27" i="8"/>
  <c r="K28" i="8"/>
  <c r="K29" i="8"/>
  <c r="J27" i="8"/>
  <c r="J28" i="8"/>
  <c r="J29" i="8"/>
  <c r="J21" i="8"/>
  <c r="K21" i="8"/>
  <c r="J19" i="8"/>
  <c r="K19" i="8"/>
  <c r="J18" i="8"/>
  <c r="K18" i="8"/>
  <c r="J17" i="8"/>
  <c r="K17" i="8"/>
  <c r="J16" i="8"/>
  <c r="K16" i="8"/>
  <c r="J128" i="8" l="1"/>
  <c r="K128" i="8"/>
  <c r="J97" i="8"/>
  <c r="K102" i="8"/>
  <c r="J102" i="8"/>
  <c r="K30" i="8" l="1"/>
  <c r="K31" i="8"/>
  <c r="J30" i="8"/>
  <c r="J31" i="8"/>
  <c r="K8" i="8" l="1"/>
  <c r="I8" i="8"/>
  <c r="J8" i="8"/>
  <c r="K10" i="8"/>
  <c r="K11" i="8"/>
  <c r="K12" i="8"/>
  <c r="K13" i="8"/>
  <c r="K14" i="8"/>
  <c r="J10" i="8"/>
  <c r="J11" i="8"/>
  <c r="J12" i="8"/>
  <c r="J13" i="8"/>
  <c r="J14" i="8"/>
  <c r="J39" i="8"/>
  <c r="K39" i="8"/>
  <c r="I6" i="8"/>
  <c r="K100" i="8"/>
  <c r="J100" i="8"/>
  <c r="K38" i="8"/>
  <c r="J38" i="8"/>
  <c r="J45" i="8"/>
  <c r="K45" i="8"/>
  <c r="J44" i="8"/>
  <c r="K44" i="8"/>
  <c r="J179" i="8"/>
  <c r="K179" i="8"/>
  <c r="J178" i="8"/>
  <c r="K178" i="8"/>
  <c r="J168" i="8"/>
  <c r="K168" i="8"/>
  <c r="K111" i="8" l="1"/>
  <c r="J111" i="8"/>
  <c r="K80" i="8" l="1"/>
  <c r="J80" i="8"/>
  <c r="K41" i="8" l="1"/>
  <c r="K42" i="8"/>
  <c r="J41" i="8"/>
  <c r="J42" i="8"/>
  <c r="K36" i="8"/>
  <c r="K37" i="8"/>
  <c r="J36" i="8"/>
  <c r="J37" i="8"/>
  <c r="J122" i="8"/>
  <c r="J124" i="8" l="1"/>
  <c r="K124" i="8"/>
  <c r="J123" i="8"/>
  <c r="K123" i="8"/>
  <c r="K122" i="8"/>
  <c r="J121" i="8"/>
  <c r="K121" i="8"/>
  <c r="J112" i="8"/>
  <c r="K112" i="8"/>
  <c r="J68" i="8"/>
  <c r="K68" i="8"/>
  <c r="J82" i="8" l="1"/>
  <c r="K82" i="8"/>
  <c r="J6" i="8" l="1"/>
  <c r="J76" i="8"/>
  <c r="J77" i="8"/>
  <c r="J51" i="8"/>
  <c r="J52" i="8"/>
  <c r="J53" i="8"/>
  <c r="J54" i="8"/>
  <c r="J55" i="8"/>
  <c r="J56" i="8"/>
  <c r="J57" i="8"/>
  <c r="J58" i="8"/>
  <c r="J59" i="8"/>
  <c r="J61" i="8"/>
  <c r="J63" i="8"/>
  <c r="J64" i="8"/>
  <c r="J65" i="8"/>
  <c r="J66" i="8"/>
  <c r="J67" i="8"/>
  <c r="J69" i="8"/>
  <c r="J70" i="8"/>
  <c r="J50" i="8"/>
  <c r="J83" i="8"/>
  <c r="K83" i="8"/>
  <c r="K97" i="8" l="1"/>
  <c r="K99" i="8"/>
  <c r="K101" i="8"/>
  <c r="K103" i="8"/>
  <c r="K104" i="8"/>
  <c r="K107" i="8"/>
  <c r="K108" i="8"/>
  <c r="K109" i="8"/>
  <c r="K110" i="8"/>
  <c r="K117" i="8"/>
  <c r="K118" i="8"/>
  <c r="K119" i="8"/>
  <c r="K120" i="8"/>
  <c r="K125" i="8"/>
  <c r="K126" i="8"/>
  <c r="K127" i="8"/>
  <c r="K129" i="8"/>
  <c r="J96" i="8"/>
  <c r="J35" i="8"/>
  <c r="K35" i="8" l="1"/>
  <c r="K50" i="8"/>
  <c r="J127" i="8"/>
  <c r="J119" i="8"/>
  <c r="J118" i="8"/>
  <c r="J117" i="8"/>
  <c r="J110" i="8"/>
  <c r="J109" i="8"/>
  <c r="J108" i="8"/>
  <c r="J104" i="8"/>
  <c r="J103" i="8"/>
  <c r="J99" i="8"/>
  <c r="K96" i="8"/>
  <c r="K70" i="8"/>
  <c r="K69" i="8"/>
  <c r="J163" i="8"/>
  <c r="K163" i="8"/>
  <c r="K58" i="8" l="1"/>
  <c r="J177" i="8"/>
  <c r="K177" i="8"/>
  <c r="J176" i="8"/>
  <c r="K176" i="8"/>
  <c r="J175" i="8"/>
  <c r="K175" i="8"/>
  <c r="J174" i="8"/>
  <c r="K174" i="8"/>
  <c r="J173" i="8"/>
  <c r="K173" i="8"/>
  <c r="J172" i="8"/>
  <c r="K172" i="8"/>
  <c r="J171" i="8"/>
  <c r="K171" i="8"/>
  <c r="J167" i="8"/>
  <c r="K167" i="8"/>
  <c r="J166" i="8"/>
  <c r="K166" i="8"/>
  <c r="J165" i="8"/>
  <c r="K165" i="8"/>
  <c r="K6" i="8" l="1"/>
  <c r="K51" i="8"/>
  <c r="J159" i="8" l="1"/>
  <c r="K159" i="8"/>
  <c r="J158" i="8"/>
  <c r="K158" i="8"/>
  <c r="J157" i="8"/>
  <c r="K157" i="8"/>
  <c r="J101" i="8"/>
  <c r="J107" i="8"/>
  <c r="J120" i="8"/>
  <c r="J125" i="8"/>
  <c r="J126" i="8"/>
  <c r="J129" i="8"/>
  <c r="J155" i="8"/>
  <c r="J156" i="8"/>
  <c r="J79" i="8"/>
  <c r="J81" i="8"/>
  <c r="K77" i="8"/>
  <c r="K76" i="8"/>
  <c r="K81" i="8" l="1"/>
  <c r="K79" i="8"/>
  <c r="K52" i="8" l="1"/>
  <c r="K53" i="8"/>
  <c r="K54" i="8"/>
  <c r="K55" i="8"/>
  <c r="K56" i="8"/>
  <c r="K57" i="8"/>
  <c r="K59" i="8"/>
  <c r="K61" i="8"/>
  <c r="K63" i="8"/>
  <c r="K64" i="8"/>
  <c r="K65" i="8"/>
  <c r="K66" i="8"/>
  <c r="K67" i="8"/>
  <c r="K155" i="8"/>
  <c r="K156" i="8"/>
  <c r="J72" i="8"/>
  <c r="J73" i="8"/>
  <c r="J74" i="8"/>
  <c r="J75" i="8"/>
  <c r="B51" i="8" l="1"/>
  <c r="K75" i="8"/>
  <c r="K74" i="8"/>
  <c r="K73" i="8"/>
  <c r="K72" i="8"/>
  <c r="B52" i="8" l="1"/>
  <c r="B53" i="8" s="1"/>
  <c r="B54" i="8" s="1"/>
  <c r="B55" i="8" s="1"/>
  <c r="B56" i="8" s="1"/>
  <c r="B57" i="8" s="1"/>
  <c r="B58" i="8" s="1"/>
  <c r="B59" i="8" s="1"/>
  <c r="B97" i="8"/>
  <c r="B98" i="8" s="1"/>
  <c r="B99" i="8" s="1"/>
  <c r="B100" i="8" s="1"/>
  <c r="B101" i="8" s="1"/>
  <c r="B102" i="8" s="1"/>
  <c r="B103" i="8" s="1"/>
  <c r="B104" i="8" s="1"/>
  <c r="B107" i="8" s="1"/>
  <c r="B60" i="8" l="1"/>
  <c r="B61" i="8" s="1"/>
  <c r="B62" i="8" s="1"/>
  <c r="B63" i="8" s="1"/>
  <c r="B64" i="8" s="1"/>
  <c r="B65" i="8" s="1"/>
  <c r="B66" i="8" s="1"/>
  <c r="B67" i="8" s="1"/>
  <c r="B69" i="8" s="1"/>
  <c r="B70" i="8" s="1"/>
  <c r="B72" i="8" s="1"/>
  <c r="B73" i="8" s="1"/>
  <c r="B74" i="8" s="1"/>
  <c r="B75" i="8" s="1"/>
  <c r="B76" i="8" s="1"/>
  <c r="B77" i="8" s="1"/>
  <c r="B117" i="8" l="1"/>
  <c r="B118" i="8" s="1"/>
  <c r="B119" i="8" s="1"/>
  <c r="B120" i="8" s="1"/>
  <c r="B121" i="8" s="1"/>
  <c r="B122" i="8" s="1"/>
  <c r="B123" i="8" s="1"/>
  <c r="B124" i="8" s="1"/>
  <c r="B156" i="8" l="1"/>
  <c r="B157" i="8" s="1"/>
  <c r="B158" i="8" s="1"/>
  <c r="B159" i="8" s="1"/>
</calcChain>
</file>

<file path=xl/sharedStrings.xml><?xml version="1.0" encoding="utf-8"?>
<sst xmlns="http://schemas.openxmlformats.org/spreadsheetml/2006/main" count="693" uniqueCount="391">
  <si>
    <t>STT</t>
  </si>
  <si>
    <t>Đơn vị</t>
  </si>
  <si>
    <t>Tấm</t>
  </si>
  <si>
    <t>Bộ</t>
  </si>
  <si>
    <t>Thời gian Bảo Hành</t>
  </si>
  <si>
    <t>Vào
VAT</t>
  </si>
  <si>
    <t>NGUỒN</t>
  </si>
  <si>
    <t>TẤM PIN</t>
  </si>
  <si>
    <t>CHI TIẾT</t>
  </si>
  <si>
    <t>INVT</t>
  </si>
  <si>
    <t>IN3</t>
  </si>
  <si>
    <t>IN5</t>
  </si>
  <si>
    <t>IN101</t>
  </si>
  <si>
    <t>IN103</t>
  </si>
  <si>
    <t>IN15</t>
  </si>
  <si>
    <t>IN20</t>
  </si>
  <si>
    <t>IN30</t>
  </si>
  <si>
    <t>IN40</t>
  </si>
  <si>
    <t>IN60</t>
  </si>
  <si>
    <t>IN110</t>
  </si>
  <si>
    <t>CT1</t>
  </si>
  <si>
    <t>box5</t>
  </si>
  <si>
    <t>box10</t>
  </si>
  <si>
    <t>Biến dòng 200A/5
SCT024TS</t>
  </si>
  <si>
    <t xml:space="preserve">Tủ biến tần bơm 2.2kW 1Pha 220V
- Biến tần solar pump 2.2kW-1P/220V
- Thiết bị đóng cắt bảo vệ DC
CÓ NẮNG Là CÓ NƯỚC" 9h Sáng Bơm Đến 3h Chiều
NÓI KHÔNG VỚI ĐIỆN LỰC
KHÔNG LƯU TRỮ ACQUY
ĐẦU TƯ 1 LẦN
KHÔNG CẦN MUA XĂNG DẦU 10 NĂM
ỔN ĐỊNH NGUỒN NƯỚC - ỔN ĐỊNH CANH TÁC
BẢO HÀNH 24 THÁNG </t>
  </si>
  <si>
    <t>p4</t>
  </si>
  <si>
    <t>p5</t>
  </si>
  <si>
    <t>p7</t>
  </si>
  <si>
    <t>GHI CHÚ</t>
  </si>
  <si>
    <t>AXITEC
Hãng ĐỨC</t>
  </si>
  <si>
    <t>Solarman Box SAR-100 -5
Dataloger để kết nối bám tải dưới 5 bộ inverter</t>
  </si>
  <si>
    <t>Solarman Box SAR-100 -10
Dataloger để kết nối bám tải dưới 10 bộ inverter</t>
  </si>
  <si>
    <t>SNA5</t>
  </si>
  <si>
    <t>LUXPOWER</t>
  </si>
  <si>
    <t>SNA6</t>
  </si>
  <si>
    <t>LXP6</t>
  </si>
  <si>
    <t>LXP12</t>
  </si>
  <si>
    <t>GW5</t>
  </si>
  <si>
    <t>GW6</t>
  </si>
  <si>
    <t>HI5</t>
  </si>
  <si>
    <t>HIG5</t>
  </si>
  <si>
    <t>HI14</t>
  </si>
  <si>
    <t>Hina PowerGem - 5.12kW
Pin Lithium HinaESS 
Thương hiệu pin Lithium cao cấp của LuxPower, đồng bộ với 
LuxPower
BMS thông minh cho phép cập nhật phần mềm từ xa, đọc thông số của pin từ xa,xem chi tiết từng module pin, xử lý sự cố từ xa thông qua server LuxPower
Điện áp: 51.2V / 16S
Dung lượng: 100Ah - 5.12kWh
Dòng sạc/xả cho phép tối đa 100A
Sử dụng cell A+ cao cấp 
DOD 90% - 6000 cycles
Thiết kế dạng treo tường 
(Wall Mounting)
KT: 640*428*166mm
KL: 58Kg
Bảo hành BMS 5 năm
Bảo hành dung lượng 10 năm hoặc 6000/8000 chu kì còn lại tối thiểu 70% danh định</t>
  </si>
  <si>
    <t>Inverter hybrid Goodwe 5kw 1 pha GW5000-ES-20 (Áp thấp)
- 2 MPPT, 2 DC input, Max DC 150%
- Điện áp battery: 48V Lithium
- Công suất ngõ ra dự phòng: 5kW
- Công suất ngõ ra dự phòng tối đa: 10kW, 10s
- Tích hợp SPD (DC&amp;AC), bộ bảo vệ quá điện áp và bảo vệ dòng điện rò
- Đấu nối song song từ 2 inverter khi sử dụng thiết bị Smart Dongle
- Tặng kèm wifi &amp; đồng hồ bám tải
Bảo hành : 5 năm</t>
  </si>
  <si>
    <t>SVE</t>
  </si>
  <si>
    <t>bbt</t>
  </si>
  <si>
    <t>sg125</t>
  </si>
  <si>
    <t>Inverter hòa lưới SG125CX-P2
Tích hợp AFCI chống cháy nổ
Tích hợp chống sét AC, DC
12 MPPT , 24 String
Bảo hành 5 năm</t>
  </si>
  <si>
    <t>SUNGROW</t>
  </si>
  <si>
    <t>com100</t>
  </si>
  <si>
    <t>p11</t>
  </si>
  <si>
    <t xml:space="preserve">Tủ biến tần bơm 11kW 3Pha 380V
- Biến tần solar pump 11kW-3P/380V
- Thiết bị đóng cắt bảo vệ DC
CÓ NẮNG Là CÓ NƯỚC" 9h Sáng Bơm Đến 3h Chiều
NÓI KHÔNG VỚI ĐIỆN LỰC
KHÔNG LƯU TRỮ ACQUY
ĐẦU TƯ 1 LẦN
KHÔNG CẦN MUA XĂNG DẦU 10 NĂM
ỔN ĐỊNH NGUỒN NƯỚC - ỔN ĐỊNH CANH TÁC
BẢO HÀNH 18 THÁNG </t>
  </si>
  <si>
    <t>CT</t>
  </si>
  <si>
    <t>p15</t>
  </si>
  <si>
    <t xml:space="preserve">Tủ biến tần bơm 15kW 3Pha 380V
- Biến tần solar pump 15kW-3P/380V
- Thiết bị đóng cắt bảo vệ DC
CÓ NẮNG Là CÓ NƯỚC" 9h Sáng Bơm Đến 3h Chiều
NÓI KHÔNG VỚI ĐIỆN LỰC
KHÔNG LƯU TRỮ ACQUY
ĐẦU TƯ 1 LẦN
KHÔNG CẦN MUA XĂNG DẦU 10 NĂM
ỔN ĐỊNH NGUỒN NƯỚC - ỔN ĐỊNH CANH TÁC
BẢO HÀNH 18 THÁNG </t>
  </si>
  <si>
    <t>GW8</t>
  </si>
  <si>
    <t>GW10</t>
  </si>
  <si>
    <t>GW12</t>
  </si>
  <si>
    <t>Inverter hybrid Goodwe 8kw 1 pha GW6000-ES-C10 (Áp thấp)
- 2 MPPT, 2 DC input, Max DC 150%
- Điện áp battery: 48V Lithium
- Công suất ngõ ra dự phòng: 8kW
- Công suất ngõ ra dự phòng tối đa: 16kW, 10s
- Tích hợp SPD (DC&amp;AC), bộ bảo vệ quá điện áp và bảo vệ dòng điện rò
- Đấu nối song song từ 2 inverter khi sử dụng thiết bị Smart Dongle
- Tặng kèm wifi &amp; đồng hồ bám tải
Bảo hành : 5 năm</t>
  </si>
  <si>
    <t xml:space="preserve"> </t>
  </si>
  <si>
    <t>gw103</t>
  </si>
  <si>
    <t>Inverter hybrid Goodwe 10kw 3 pha GW10KN-ET (Áp cao)
- 2 MPPT, 2 DC input, Max DC 150%
- Điện áp battery: 180V-600V Lithium HV
- Công suất ngõ ra dự phòng: 10kW
- Công suất ngõ ra dự phòng tối đa: 16.5kW, 60s
- Hỗ trợ 3 pha không cân bằng
- Tích hợp SPD loại II (DC&amp;AC), bộ bảo vệ quá điện áp và bảo vệ dòng điện rò
- Tặng kèm wifi &amp; đồng hồ bám tải</t>
  </si>
  <si>
    <t>gw20</t>
  </si>
  <si>
    <t>GW30</t>
  </si>
  <si>
    <t>Inverter hybrid Goodwe 20kw 3 pha GW20K-ET (Áp cao)
- 2 MPPT, 4 DC input, Max DC 150%
- Điện áp battery: 200V-600V Lithium HV
- Công suất ngõ ra dự phòng: 20kW
- Công suất ngõ ra dự phòng tối đa: 24kW, 60s
- Hỗ trợ 3 pha không cân bằng
- Tích hợp SPD loại II (DC&amp;AC), bộ bảo vệ quá điện áp và bảo vệ dòng điện rò
- Tặng kèm wifi &amp; đồng hồ bám tải</t>
  </si>
  <si>
    <t>Inverter hybrid Goodwe 30kw 3 pha GW30K-ET (Áp cao)
- 2 MPPT, 4 DC input, Max DC 150%
- Điện áp battery: 200V-600V Lithium HV
- Công suất ngõ ra dự phòng: 30kW
- Công suất ngõ ra dự phòng tối đa: 36kW, 60s
- Hỗ trợ 3 pha không cân bằng
- Tích hợp SPD loại II (DC&amp;AC), bộ bảo vệ quá điện áp và bảo vệ dòng điện rò
- Tặng kèm wifi &amp; đồng hồ bám tải</t>
  </si>
  <si>
    <t>LX19.2</t>
  </si>
  <si>
    <t>LX22.4</t>
  </si>
  <si>
    <t>LX25.6</t>
  </si>
  <si>
    <t>LX28.8</t>
  </si>
  <si>
    <t>in50</t>
  </si>
  <si>
    <r>
      <t xml:space="preserve">LUXPOWER HYBRID 6kW - Bản cao cấp
Model : LXP 6K MG
Tích hợp sẵn cổng CT ngoài ( giá chưa bao gồm CT )
DC đầu vào max 8kW
</t>
    </r>
    <r>
      <rPr>
        <sz val="11"/>
        <color rgb="FFFF0000"/>
        <rFont val="Segoe UI"/>
        <family val="2"/>
      </rPr>
      <t xml:space="preserve">On-grid/Back-up 6kW với PV + Acquy
Sạc xả 4kW/80A
</t>
    </r>
    <r>
      <rPr>
        <sz val="11"/>
        <color theme="1"/>
        <rFont val="Segoe UI"/>
        <family val="2"/>
      </rPr>
      <t>Hỗ trợ accquy, lithium 48V
Cho phép tối đa song song 10 máy thành 1 pha hoặc 3 pha
Wifi đi kèm BH 1 năm Bảo hành 5 năm ( mở rộng 10 năm nếu lắp chung lưu trữ HINAESS )</t>
    </r>
  </si>
  <si>
    <t>Hina Hi-5 - 5.12kW
Pin Lithium HinaESS 
Thương hiệu pin Lithium cao cấp của LuxPower, đồng bộ với  LuxPower
BMS thông minh cho phép cập nhật phần mềm từ xa, đọc thông số của pin từ xa,xem chi tiết từng module pin, xử lý sự cố từ xa thông qua server LuxPower
Điện áp: 51.2V / 16S
Dung lượng: 100Ah - 5.12kWh
Dòng sạc/xả cho phép tối đa 100A
Sử dụng cell A+ cao cấp 
DOD 90% - 6000 cycles
Thiết kế dạng gắn tủ 19"
(Rack Mounting) 
KT: 481*452.6*165mm
KL: 50Kg
Bảo hành BMS 5 năm
Bảo hành dung lượng 10 năm hoặc 6000/8000 chu kì còn lại tối thiểu 70% danh định</t>
  </si>
  <si>
    <t>GOODWEE</t>
  </si>
  <si>
    <t>Thiết bị giám sát LDW-151-10 dùng đấu song song inverter XG 1 Pha</t>
  </si>
  <si>
    <t>LSW-3</t>
  </si>
  <si>
    <t>Thiết bị giám sát LSW-3 cho inverter MG Series</t>
  </si>
  <si>
    <t>GEN8</t>
  </si>
  <si>
    <t>GEN10</t>
  </si>
  <si>
    <t>Dongles Lan LuxPower, dùng để kết nối internet cho máy 
bằng dây mạng (nếu vị trí xa wifi không ổn định cần dùng 
dây mạng LAN)</t>
  </si>
  <si>
    <t xml:space="preserve">Wifi LuxPower, dùng cho tất cả các model LuxPower </t>
  </si>
  <si>
    <t xml:space="preserve">mua lẻ CT ngoài LuxPower SNA 6kW 100A/100mA </t>
  </si>
  <si>
    <t>Hina Beast-5
Điện áp: 51.2V / 16S
Dung lượng: 100Ah - 5.12kWh
Sử dụng cell A+ cao cấp 
Dòng sạc/xả cho phép tối đa 100A
DOD 90% - 6000 cycles
Thiết kế dạng xếp chồng
KT: 165*580*434mm
Bảo hành BMS 5 năm
Bảo hành dung lượng 10 năm hoặc 6000/8000 chu kì còn lại tối thiểu 70% danh định</t>
  </si>
  <si>
    <t>HIB5</t>
  </si>
  <si>
    <t>LAN</t>
  </si>
  <si>
    <t>WFL</t>
  </si>
  <si>
    <t>CT6</t>
  </si>
  <si>
    <t>CT3</t>
  </si>
  <si>
    <t>INVERTER
 ÁP CAO</t>
  </si>
  <si>
    <t>LƯU TRỮ
GOODWEE ÁP CAO</t>
  </si>
  <si>
    <t>MÃ QUANG THANH</t>
  </si>
  <si>
    <t>BIẾN TẦN BƠM ( SOLAR PUMB)</t>
  </si>
  <si>
    <t>sna12</t>
  </si>
  <si>
    <t>Thiết bị giám sát Sungrow COM100
- Đã bao gồm đồng hồ đo đại lượng điện  DTSD1352.
- Đã bao gồm CT đo dòng
- Bảo hành 24 tháng</t>
  </si>
  <si>
    <t>SG50</t>
  </si>
  <si>
    <t>Inverter hòa lưới 50kw 3 pha SG50CX-P2
- 4 MPPT, 8 DC input
- Tích hợp SPD loại II (DC&amp;AC)
- IP66 và chống ăn mòn C5
- Chưa gồm wifi</t>
  </si>
  <si>
    <t>sg33</t>
  </si>
  <si>
    <t>Inverter hòa lưới 33kw 3 pha SG33CX-P2
- 3 MPPT, 6 DC input
- Tích hợp SPD loại II (DC&amp;AC)
- IP66 và chống ăn mòn C5
- Đã bao gồm wifi</t>
  </si>
  <si>
    <t>Inverter hòa lưới 3kw 1 pha XG3KTL - Mẫu mới nhất  2024
Bảo hành 5 năm
On-grid inverter with 1 MPPTs,single phase，3KW，1 MPPT, DC switch
- Đã kèm Wifi LSW-5
-Bảo vệ ngắn mạch AC, bảo vệ quá dòng, bảo vệ quá điện áp, bảo vệ cách ly, bảo vệ chống dòng rò, tự động ngừng khi mất điện lưới, bảo vệ quá nhiệt, phát hiện sự cố chạm đất, v.v.</t>
  </si>
  <si>
    <t>Inverter hòa lưới 5kw 1 pha XG5KTL - Mẫu mới nhất  2024
Bảo hành 5 năm
On-grid inverter with 1 MPPTs,single phase，5KW，1 MPPT, DC switch
- Đã kèm Wifi LSW-5
-Bảo vệ ngắn mạch AC, bảo vệ quá dòng, bảo vệ quá điện áp, bảo vệ cách ly, bảo vệ chống dòng rò, tự động ngừng khi mất điện lưới, bảo vệ quá nhiệt, phát hiện sự cố chạm đất, v.v.</t>
  </si>
  <si>
    <t>2XG</t>
  </si>
  <si>
    <t>Biến dòng đo lường 300-1000/5A đã có kiểm định</t>
  </si>
  <si>
    <t>TR10</t>
  </si>
  <si>
    <t>TR15</t>
  </si>
  <si>
    <t>TR20</t>
  </si>
  <si>
    <t>TR30</t>
  </si>
  <si>
    <t>EB</t>
  </si>
  <si>
    <t>ECO BEAST 6kW
Model: Eco Beast
PV 2MPPT 8kW 17A/17A
On-grid/Back-up 6kW
Sạc xả 6kW/140A
Hỗ trợ Acquy / Lithium 48V
Bảo hành 5 năm
Wifi, CT đi kèm BH 1 năm
KT: 580*350*165
KL: 15.6Kg</t>
  </si>
  <si>
    <t>Hina/LuxPower Beast-5
Điện áp: 51.2V / 16S
Dung lượng: 100Ah - 5.12kWh
Sử dụng cell Acao cấp 
Dòng sạc/xả cho phép tối đa 100A
DOD 90% - 6000 cycles
Thiết kế dạng xếp chồng
KT: 165*580*434mm"
KT: 580*434*165
KL: 56.9 Kg</t>
  </si>
  <si>
    <t>LB</t>
  </si>
  <si>
    <t>EB5</t>
  </si>
  <si>
    <t>EB10</t>
  </si>
  <si>
    <t>EB15</t>
  </si>
  <si>
    <t>Combo Eco Beast 6kW/ 5kWh
Bao gồm 1 ECO BEAST 6kW + 1 Battery Hina/LuxPower Beast-5
ECO BEAST 6kW
PV 2MPPT 8kW 17A/17A
On-grid/Back-up 6kW
Sạc xả 6kW/140A
Hỗ trợ Acquy / Lithium 48V
Bảo hành 5 năm
Wifi, CT đi kèm BH 1 năm
Battery Hina/LuxPower Beast-5
Điện áp: 51.2V*1= 51.2V
Dung lượng: 5.12kWh
Sử dụng cell A  cao cấp 
Dòng sạc/xả cho phép tối đa 100A
DOD 90% - 6000 cycles
Thiết kế dạng xếp chồng
KT: 580*784*165
KL: 70.5Kg
Bảo hành BMS 5 năm, Bảo hành dung lượng 10 năm hoặc 6000 chu kì còn lại tối thiểu 70% danh định</t>
  </si>
  <si>
    <t>Combo Eco Beast 6kW/ 15kWh
Bao gồm 1 ECO BEAST 6kW + 3 Battery Hina/LuxPower Beast-5
ECO BEAST 6kW
PV 2MPPT 8kW 17A/17A
On-grid/Back-up 6kW
Sạc xả 6kW/140A
Hỗ trợ Acquy / Lithium 48V
Bảo hành 5 năm
Wifi, CT đi kèm BH 1 năm
Battery Hina/LuxPower Beast-5
Điện áp: 51.2V*3= 153.6V
Dung lượng: 15.36kWh
Sử dụng cell A cao cấp 
Dòng sạc/xả cho phép tối đa 100A
DOD 90% - 6000 cycles
Thiết kế dạng xếp chồng
KT: 580*1652*165
KL: 180.3Kg
Bảo hành BMS 5 năm, Bảo hành dung lượng 10 năm hoặc 6000 chu kì còn lại tối thiểu 70% danh định</t>
  </si>
  <si>
    <t>Combo Eco Beast 6kW/ 10kWh
Bao gồm 1 ECO BEAST 6kW + 2 BatteryHina/LuxPower Beast-5
ECO BEAST 6kW
PV 2MPPT 8kW 17A/17A
On-grid/Back-up 6kW
Sạc xả 6kW/140A
Hỗ trợ Acquy / Lithium 48V
Bảo hành 5 năm
Wifi, CT đi kèm BH 1 năm
Battery Hina/LuxPower Beast-5
Điện áp: 51.2V*2= 102.4V
Dung lượng: 10.24kWh
Sử dụng cell A  cao cấp 
Dòng sạc/xả cho phép tối đa 100A
DOD 90% - 6000 cycles
Thiết kế dạng xếp chồng
KT: 580*1218*165
KL: 125.4Kg
Bảo hành BMS 5 năm, Bảo hành dung lượng 10 năm hoặc 6000 chu kì còn lại tối thiểu 70% danh định</t>
  </si>
  <si>
    <t xml:space="preserve">PIN LƯU TRỮ
 ÁP THẤP
</t>
  </si>
  <si>
    <t>LXA</t>
  </si>
  <si>
    <t>Battery Lithium Goodwe Lynx A G3 (100Ah 51.2V)
- Điện áp: 51.2V
- Dung lượng định mức: 5.12kWh
- Dòng xả khuyến nghị: 100A
- Độ xả sâu (DOD): 95%
- Hiệu suất (@≤0.5C-rate): 96%
- Cycle life (250C): 6000@25 ± 2°C 0.2C 70%EOL
- Đã bao gồm cáp kết nối đi cùng
- Tương thích với Inverter hybrid Goodwe ES/Uniq Series 1 pha
- Thời gian bảo hành: tiêu chuẩn 10 năm và hiệu suất &gt;70% sau 10 năm
- Lưu ý: Không cấu hình cùng inverter ngoài Goodwe</t>
  </si>
  <si>
    <t>GW50</t>
  </si>
  <si>
    <r>
      <rPr>
        <b/>
        <sz val="8"/>
        <color rgb="FF002060"/>
        <rFont val="Segoe UI"/>
        <family val="2"/>
      </rPr>
      <t>Inverter hòa lưới 10kw 1 pha XG10KTL
Bảo hành 5 năm
- Tích hợp Chống sét lan truyền AC , DC</t>
    </r>
    <r>
      <rPr>
        <sz val="8"/>
        <color rgb="FF002060"/>
        <rFont val="Segoe UI"/>
        <family val="2"/>
      </rPr>
      <t xml:space="preserve">
On-grid inverter with 2 MPPTs,single phase，10KW，MPPT current 20A , DC switch
- Đã kèm Wifi </t>
    </r>
    <r>
      <rPr>
        <b/>
        <sz val="8"/>
        <color rgb="FF002060"/>
        <rFont val="Segoe UI"/>
        <family val="2"/>
      </rPr>
      <t>LSW-5</t>
    </r>
    <r>
      <rPr>
        <sz val="8"/>
        <color rgb="FF002060"/>
        <rFont val="Segoe UI"/>
        <family val="2"/>
      </rPr>
      <t xml:space="preserve">
-Bảo vệ ngắn mạch AC, bảo vệ quá dòng, bảo vệ quá điện áp, bảo vệ cách ly, bảo vệ chống dòng rò, tự động ngừng khi mất điện lưới, bảo vệ quá nhiệt, phát hiện sự cố chạm đất, v.v.</t>
    </r>
  </si>
  <si>
    <r>
      <rPr>
        <b/>
        <sz val="8"/>
        <color rgb="FF002060"/>
        <rFont val="Segoe UI"/>
        <family val="2"/>
      </rPr>
      <t>Inverter hòa lưới 10kw 3 pha XG10KTR
Bảo hành 5 năm</t>
    </r>
    <r>
      <rPr>
        <sz val="8"/>
        <color rgb="FF002060"/>
        <rFont val="Segoe UI"/>
        <family val="2"/>
      </rPr>
      <t xml:space="preserve">
On-grid inverter with 2 MPPTs,3 phase，230V/400V，10KW，AC output 15.9A
- Đã kèm Wifi </t>
    </r>
    <r>
      <rPr>
        <b/>
        <sz val="8"/>
        <color rgb="FF002060"/>
        <rFont val="Segoe UI"/>
        <family val="2"/>
      </rPr>
      <t>LSW-5</t>
    </r>
    <r>
      <rPr>
        <sz val="8"/>
        <color rgb="FF002060"/>
        <rFont val="Segoe UI"/>
        <family val="2"/>
      </rPr>
      <t xml:space="preserve">
-Bảo vệ ngắn mạch AC, bảo vệ quá dòng, bảo vệ quá điện áp, bảo vệ cách ly, bảo vệ chống dòng rò, tự động ngừng khi mất điện lưới, bảo vệ quá nhiệt, phát hiện sự cố chạm đất, v.v.</t>
    </r>
  </si>
  <si>
    <r>
      <t xml:space="preserve">Inverter hòa lưới 15kw 3 pha </t>
    </r>
    <r>
      <rPr>
        <b/>
        <sz val="8"/>
        <color rgb="FF002060"/>
        <rFont val="Segoe UI"/>
        <family val="2"/>
      </rPr>
      <t>XG15KTR1-S
Bảo hành 5 năm</t>
    </r>
    <r>
      <rPr>
        <sz val="8"/>
        <color rgb="FF002060"/>
        <rFont val="Segoe UI"/>
        <family val="2"/>
      </rPr>
      <t xml:space="preserve">
On-grid inverter with 2 MPPTs,3 phase，230V/400V，15KW，AC output current 23.9A
- Đã kèm Wifi </t>
    </r>
    <r>
      <rPr>
        <b/>
        <sz val="8"/>
        <color rgb="FF002060"/>
        <rFont val="Segoe UI"/>
        <family val="2"/>
      </rPr>
      <t>LSW-5</t>
    </r>
    <r>
      <rPr>
        <sz val="8"/>
        <color rgb="FF002060"/>
        <rFont val="Segoe UI"/>
        <family val="2"/>
      </rPr>
      <t xml:space="preserve">
-Bảo vệ ngắn mạch AC, bảo vệ quá dòng, bảo vệ quá điện áp, bảo vệ cách ly, bảo vệ chống dòng rò, tự động ngừng khi mất điện lưới, bảo vệ quá nhiệt, phát hiện sự cố chạm đất, v.v.</t>
    </r>
  </si>
  <si>
    <r>
      <rPr>
        <b/>
        <sz val="8"/>
        <color rgb="FF002060"/>
        <rFont val="Segoe UI"/>
        <family val="2"/>
      </rPr>
      <t>Inverter hòa lưới 20kw 3 pha XG20KTR
Bảo hành 5 năm</t>
    </r>
    <r>
      <rPr>
        <sz val="8"/>
        <color rgb="FF002060"/>
        <rFont val="Segoe UI"/>
        <family val="2"/>
      </rPr>
      <t xml:space="preserve">
On-grid inverter with 2 MPPTs,3 phase，230V/400V，20KW，AC output current 32A
- Đã kèm Wifi LSW-5
-Bảo vệ ngắn mạch AC, bảo vệ quá dòng, bảo vệ quá điện áp, bảo vệ cách ly, bảo vệ chống dòng rò, tự động ngừng khi mất điện lưới, bảo vệ quá nhiệt, phát hiện sự cố chạm đất, v.v.</t>
    </r>
  </si>
  <si>
    <r>
      <rPr>
        <b/>
        <sz val="8"/>
        <color rgb="FF002060"/>
        <rFont val="Segoe UI"/>
        <family val="2"/>
      </rPr>
      <t xml:space="preserve">Inverter hòa lưới 30kw 3 pha XG30KTR
Bảo hành 5 năm
</t>
    </r>
    <r>
      <rPr>
        <sz val="8"/>
        <color rgb="FF002060"/>
        <rFont val="Segoe UI"/>
        <family val="2"/>
      </rPr>
      <t>On-grid inverter with 3 MPPTs,3 phase，230V/400V，30KW，AC output current 48.3A
- Đã kèm Wifi LSW-5
-Bảo vệ ngắn mạch AC, bảo vệ quá dòng, bảo vệ quá điện áp, bảo vệ cách ly, bảo vệ chống dòng rò, tự động ngừng khi mất điện lưới, bảo vệ quá nhiệt, phát hiện sự cố chạm đất, v.v.</t>
    </r>
  </si>
  <si>
    <r>
      <rPr>
        <b/>
        <sz val="8"/>
        <color rgb="FF002060"/>
        <rFont val="Segoe UI"/>
        <family val="2"/>
      </rPr>
      <t>Inverter hòa lưới 40kw 3 pha XG40KTR
Bảo hành 5 năm
Tích hợp tính năng AFCI chống cháy nổ cao cấp</t>
    </r>
    <r>
      <rPr>
        <sz val="8"/>
        <color rgb="FF002060"/>
        <rFont val="Segoe UI"/>
        <family val="2"/>
      </rPr>
      <t xml:space="preserve">
On-grid inverter with 3 MPPTs,3 phase，230V/400V，40KW，AC output current 64.3A
- Đã kèm Wifi LSW-5
</t>
    </r>
    <r>
      <rPr>
        <sz val="8"/>
        <color rgb="FFFF0000"/>
        <rFont val="Segoe UI"/>
        <family val="2"/>
      </rPr>
      <t>-Bảo vệ ngắn mạch AC, bảo vệ quá dòng, bảo vệ quá điện áp, bảo vệ cách ly, bảo vệ chống dòng rò, tự động ngừng khi mất điện lưới, bảo vệ quá nhiệt, phát hiện sự cố chạm đất, v.v.</t>
    </r>
  </si>
  <si>
    <r>
      <rPr>
        <b/>
        <sz val="8"/>
        <color rgb="FF002060"/>
        <rFont val="Segoe UI"/>
        <family val="2"/>
      </rPr>
      <t>Inverter hòa lưới 50kw 3 pha XG50KTR
Bảo hành 5 năm
Tích hợp tính năng AFCI chống cháy nổ cao cấp
O</t>
    </r>
    <r>
      <rPr>
        <sz val="8"/>
        <color rgb="FF002060"/>
        <rFont val="Segoe UI"/>
        <family val="2"/>
      </rPr>
      <t xml:space="preserve">n-grid inverter with 4 MPPTs,3 phase，230V/400V，50KW，AC output current 64.3A
- Đã kèm Wifi LSW-5
</t>
    </r>
    <r>
      <rPr>
        <sz val="8"/>
        <color rgb="FFFF0000"/>
        <rFont val="Segoe UI"/>
        <family val="2"/>
      </rPr>
      <t>-Bảo vệ ngắn mạch AC, bảo vệ quá dòng, bảo vệ quá điện áp, bảo vệ cách ly, bảo vệ chống dòng rò, tự động ngừng khi mất điện lưới, bảo vệ quá nhiệt, phát hiện sự cố chạm đất, v.v.</t>
    </r>
  </si>
  <si>
    <r>
      <rPr>
        <b/>
        <sz val="8"/>
        <color rgb="FF002060"/>
        <rFont val="Segoe UI"/>
        <family val="2"/>
      </rPr>
      <t>Inverter hòa lưới 60kw 3 pha XG60KTR
Bảo hành 5 năm
Tích hợp tính năng AFCI chống cháy nổ cao cấp</t>
    </r>
    <r>
      <rPr>
        <sz val="8"/>
        <color rgb="FF002060"/>
        <rFont val="Segoe UI"/>
        <family val="2"/>
      </rPr>
      <t xml:space="preserve">
On-grid inverter with 4 MPPTs,3 phase，230V/400V，60KW，AC output current 96.6A
- Đã kèm Wifi LSW-5
</t>
    </r>
    <r>
      <rPr>
        <sz val="8"/>
        <color rgb="FFFF0000"/>
        <rFont val="Segoe UI"/>
        <family val="2"/>
      </rPr>
      <t xml:space="preserve">Bộ ngắt mạch lỗi hồ quang (AFCI) và chức năng an toàn trong hệ thống điện mặt trời </t>
    </r>
  </si>
  <si>
    <r>
      <t xml:space="preserve">Inverter hòa lưới 110kw 3 pha XG110KTR
Bảo hành 6 năm
On-grid inverter with 10 MPPTs,3 phase，230V/400V, 110KW，AC output current 158A
- Đã kèm Wifi LSW-5
</t>
    </r>
    <r>
      <rPr>
        <b/>
        <sz val="8"/>
        <color rgb="FFFF0000"/>
        <rFont val="Segoe UI"/>
        <family val="2"/>
      </rPr>
      <t>Bộ ngắt mạch lỗi hồ quang (AFCI) và chức năng an toàn trong hệ thống điện mặt trời</t>
    </r>
    <r>
      <rPr>
        <sz val="8"/>
        <color rgb="FF002060"/>
        <rFont val="Segoe UI"/>
        <family val="2"/>
      </rPr>
      <t xml:space="preserve"> 
</t>
    </r>
    <r>
      <rPr>
        <sz val="8"/>
        <color rgb="FFFF0000"/>
        <rFont val="Segoe UI"/>
        <family val="2"/>
      </rPr>
      <t>-Bảo vệ ngắn mạch AC, bảo vệ quá dòng, bảo vệ quá điện áp, bảo vệ cách ly, bảo vệ chống dòng rò, tự động ngừng khi mất điện lưới, bảo vệ quá nhiệt, phát hiện sự cố chạm đất, v.v.</t>
    </r>
  </si>
  <si>
    <r>
      <t xml:space="preserve">Thiết bị đo CT đo đếm &lt;90A
</t>
    </r>
    <r>
      <rPr>
        <b/>
        <sz val="8"/>
        <color rgb="FF002060"/>
        <rFont val="Segoe UI"/>
        <family val="2"/>
      </rPr>
      <t>Model: TOP 90-S10/SP4</t>
    </r>
  </si>
  <si>
    <r>
      <rPr>
        <b/>
        <sz val="8"/>
        <color rgb="FF002060"/>
        <rFont val="Segoe UI"/>
        <family val="2"/>
      </rPr>
      <t>Tủ biến tần bơm 4kW 3Pha 380V</t>
    </r>
    <r>
      <rPr>
        <sz val="8"/>
        <color rgb="FF002060"/>
        <rFont val="Segoe UI"/>
        <family val="2"/>
      </rPr>
      <t xml:space="preserve">
- Biến tần solar pump 4kW-3P/380V
- Thiết bị đóng cắt bảo vệ DC
CÓ NẮNG Là CÓ NƯỚC" 9h Sáng Bơm Đến 3h Chiều
NÓI KHÔNG VỚI ĐIỆN LỰC ,KHÔNG LƯU TRỮ ACQUY
ĐẦU TƯ 1 LẦN KHÔNG CẦN MUA XĂNG DẦU 10 NĂM
ỔN ĐỊNH NGUỒN NƯỚC - ỔN ĐỊNH CANH TÁC
</t>
    </r>
    <r>
      <rPr>
        <b/>
        <sz val="8"/>
        <color rgb="FF002060"/>
        <rFont val="Segoe UI"/>
        <family val="2"/>
      </rPr>
      <t xml:space="preserve">BẢO HÀNH 24 THÁNG </t>
    </r>
  </si>
  <si>
    <r>
      <rPr>
        <b/>
        <sz val="8"/>
        <color rgb="FF002060"/>
        <rFont val="Segoe UI"/>
        <family val="2"/>
      </rPr>
      <t>Tủ biến tần bơm 5.5kW 3Pha 380V</t>
    </r>
    <r>
      <rPr>
        <sz val="8"/>
        <color rgb="FF002060"/>
        <rFont val="Segoe UI"/>
        <family val="2"/>
      </rPr>
      <t xml:space="preserve">
- Biến tần solar pump 5.5kW-3P/380V
- Thiết bị đóng cắt bảo vệ DC
CÓ NẮNG Là CÓ NƯỚC" 9h Sáng Bơm Đến 3h Chiều
NÓI KHÔNG VỚI ĐIỆN LỰC
KHÔNG LƯU TRỮ ACQUY
ĐẦU TƯ 1 LẦN
KHÔNG CẦN MUA XĂNG DẦU 10 NĂM
ỔN ĐỊNH NGUỒN NƯỚC - ỔN ĐỊNH CANH TÁC
</t>
    </r>
    <r>
      <rPr>
        <b/>
        <sz val="8"/>
        <color rgb="FF002060"/>
        <rFont val="Segoe UI"/>
        <family val="2"/>
      </rPr>
      <t xml:space="preserve">BẢO HÀNH 24 THÁNG </t>
    </r>
  </si>
  <si>
    <r>
      <rPr>
        <b/>
        <sz val="8"/>
        <color rgb="FF002060"/>
        <rFont val="Segoe UI"/>
        <family val="2"/>
      </rPr>
      <t>Tủ biến tần bơm 7.5kW 3Pha 380V</t>
    </r>
    <r>
      <rPr>
        <sz val="8"/>
        <color rgb="FF002060"/>
        <rFont val="Segoe UI"/>
        <family val="2"/>
      </rPr>
      <t xml:space="preserve">
- Biến tần solar pump 7.5kW-3P/380V
- Thiết bị đóng cắt bảo vệ DC
CÓ NẮNG Là CÓ NƯỚC" 9h Sáng Bơm Đến 3h Chiều
NÓI KHÔNG VỚI ĐIỆN LỰC
KHÔNG LƯU TRỮ ACQUY
ĐẦU TƯ 1 LẦN
KHÔNG CẦN MUA XĂNG DẦU 10 NĂM
ỔN ĐỊNH NGUỒN NƯỚC - ỔN ĐỊNH CANH TÁC
</t>
    </r>
    <r>
      <rPr>
        <b/>
        <sz val="8"/>
        <color rgb="FF002060"/>
        <rFont val="Segoe UI"/>
        <family val="2"/>
      </rPr>
      <t xml:space="preserve">BẢO HÀNH 36 THÁNG </t>
    </r>
  </si>
  <si>
    <t>VL5</t>
  </si>
  <si>
    <t>VL10</t>
  </si>
  <si>
    <t>sg150</t>
  </si>
  <si>
    <t>Inverter hòa lưới SG150CX
Tích hợp AFCI 3.0 chống cháy nổ
Tích hợp chống sét AC, DC
7 MPPT , 21 String
Bảo hành 5 năm</t>
  </si>
  <si>
    <t>tr25</t>
  </si>
  <si>
    <t>PowerGem Plus - Pin Lithium HinaESS 
Bảo hành BMS 5 năm
Bảo hành dung lượng 10 năm hoặc 6000/8000 chu kì còn lại tối thiểu 70% danh định
Thương hiệu pin Lithium cao cấp của LuxPower, đồng bộ với LuxPower
BMS thông minh cho phép cập nhật phần mềm từ xa, đọc thông số của pin từ xa,xem chi tiết từng module pin, xử lý sự cố từ xa thông qua server LuxPower
Điện áp: 51.2V / 16S
Dung lượng: 280Ah -14.3kWh
Dòng sạc/xả cho phép liên tục 140A
Sử dụng cell A+ cao cấp 
DOD 90% - 6000 cycles
Thiết kế dạng treo tường hoặc đặt đứng
KT: 900×475×237.5mm ,Khối lượng: 113Kg</t>
  </si>
  <si>
    <t>Inverter hybrid Goodwe 6kw 1 pha GW6000-ES-20 (Áp thấp)
- 2 MPPT, 2 DC input, Max DC 150%
- Điện áp battery: 48V Lithium
- Công suất ngõ ra dự phòng: 6kW
- Công suất ngõ ra dự phòng tối đa: 10kW, 10s
- Tích hợp SPD (DC&amp;AC), bộ bảo vệ quá điện áp và bảo vệ dòng điện rò
- Đấu nối song song từ 2 inverter khi sử dụng thiết bị Smart Dongle
- Tặng kèm wifi &amp; đồng hồ bám tải
Bảo hành : 5 năm</t>
  </si>
  <si>
    <t xml:space="preserve">Inverter hybrid Goodwe 10kw 1 pha GW10K-ES-C10 (Áp thấp)
- 2 MPPT, 2 DC input, Max DC 150%
- Điện áp battery: 48V Lithium
- Công suất ngõ ra dự phòng: 10kW
- Công suất ngõ ra dự phòng tối đa: 20kW, 10s
- Tích hợp SPD (DC&amp;AC), bộ bảo vệ quá điện áp và bảo vệ dòng điện rò
- Đấu nối song song từ 2 inverter khi sử dụng thiết bị Smart Dongle
- Tặng kèm wifi &amp; đồng hồ bám tải
Bảo hành : 5 năm </t>
  </si>
  <si>
    <t>Inverter hybrid Goodwe 12kw 1 pha GW12K-ES-C10 (Áp thấp)
- 2 MPPT, 2 DC input, Max DC 150%
- Điện áp battery: 48V Lithium
- Công suất ngõ ra dự phòng: 12kW
- Công suất ngõ ra dự phòng tối đa: 24kW, 10s
- Tích hợp SPD (DC&amp;AC), bộ bảo vệ quá điện áp và bảo vệ dòng điện rò
- Đấu nối song song từ 2 inverter khi sử dụng thiết bị Smart Dongle
- Tặng kèm wifi &amp; đồng hồ bám tải
Bảo hành : 5 năm</t>
  </si>
  <si>
    <t>p2</t>
  </si>
  <si>
    <t>Battery Lithium Goodwe GW51.2-BAT-G10
- Điện áp: 512V- Dung lượng định mức: 51.2kWh
- Độ xả sâu (DOD): 95%- Cycle life (25⁰C): &gt; 6000 cycle
- Đã gồm module PCU và cáp kết nối
- Chưa gồm kệ Rack
- Tương thích với Inverter hybrid Goodwe HV 40-50kW</t>
  </si>
  <si>
    <t>g50</t>
  </si>
  <si>
    <t>GoodWe STS Box
- Chuyển mạch tức thời (&lt;10ms) giữa chế độ hòa lưới và off-grid.
- Hỗ trợ kết nối máy phát điện (diesel generator)
- Bảo vệ IP65 – phù hợp lắp đặt ngoài trời.
- Kết hợp với inverter ET 40/50kW cho chế độ UPS và off-grid.
- Hỗ trợ tải lớn, lên đến 138kW (200A) khi có lưới.-
- Tương thích cùng Battery GW51.2-BAT-G10/ GW56.3-BAT-G10 Goodwe</t>
  </si>
  <si>
    <t>sts</t>
  </si>
  <si>
    <t>Hybrid GEN-LB-EU 8K
Hỗ trợ Acquy / Lithium 40-60V
PV đầu vào 2 MPPT 25A/25A
Công suất DC tối đa 12kW
On-grid/Backup 8kW
Công suất sạc/xả 8000W 167A/167A
Cài đặt tùy chình nhiều chế độ
Ghép song song nhiều máy chạy 1 pha hoặc 3 pha
Wifi đi kèm BH 1 năm
Bảo hành tiêu chuẩn 5 năm( mở rộng 10 năm nếu lắp chung lưu trữ LUXPOWER HINAESS )</t>
  </si>
  <si>
    <t>Hybrid GEN-LB-EU 10K
Hỗ trợ Acquy / Lithium 40-60V
PV đầu vào 2 MPPT 25A/25A
Công suất DC tối đa 15kW
On-grid/Backup 10kW
Công suất sạc/xả 10000W 210A/210A
Cài đặt tùy chình nhiều chế độ
Ghép song song nhiều máy chạy 1 pha hoặc 3 pha
Wifi đi kèm BH 1 năm
Bảo hành tiêu chuẩn 5 năm( mở rộng 10 năm nếu lắp chung lưu trữ LUXPOWER HINAESS )</t>
  </si>
  <si>
    <r>
      <t xml:space="preserve">LUXPOWER HYBRID 12kW - Bản cao cấp
Model : LXP 12K
DC đầu vào 2MPPT 10000W/10000W
Công suất DC tối đa 15kW
</t>
    </r>
    <r>
      <rPr>
        <sz val="11"/>
        <color rgb="FFFF0000"/>
        <rFont val="Segoe UI"/>
        <family val="2"/>
      </rPr>
      <t xml:space="preserve">Hòa lưới On-grid 10kW, đinht 13.2kW
Chạy độc lập Back-up 12kW, đỉnh 24kW
</t>
    </r>
    <r>
      <rPr>
        <sz val="11"/>
        <color theme="1"/>
        <rFont val="Segoe UI"/>
        <family val="2"/>
      </rPr>
      <t>Cài đặt tùy chỉnh nhiều chế độ
Cho phép tối đa song song 10 máy thành 1 pha hoặc 3 pha
Wifi đi kèm BH 1 năm
Bảo hành 5 năm ( mở rộng 10 năm nếu lắp chung lưu trữ LUXPOWER HINAESS )</t>
    </r>
  </si>
  <si>
    <t>LUXPOWER HYBRID
3 Pha Áp cao Hybrid Trip-20K 20kW
Hỗ trợ Acquy / Lithium 100-700V
Dòng sạc xả 50A/50A
PV đầu vào 3 MPPT 40A/40A/40A
Công suất DC tối đa 30kW
On-grid/Backup 20kW
Cài đặt tùy chình nhiều chế độ
Bám tải, độc lập riêng biệt từng pha 0kW/10kW/10kW
Song song 10 máy tăng công suất
Wifi đi kèm BH 1 năm
Bảo hành 10 năm</t>
  </si>
  <si>
    <t>LUXPOWER HYBRID
3 Pha Áp cao Hybrid Trip-15K 15kW
Hỗ trợ Acquy / Lithium 100-700V
Dòng sạc xả 50A/50A
PV đầu vào 3 MPPT 40A/40A/40A
Công suất DC tối đa 22,5kW
On-grid/Backup 15kW
Cài đặt tùy chình nhiều chế độ
Bám tải, độc lập riêng biệt từng pha 0kW/7.5kW/7.5kW
Song song 10 máy tăng công suất
Wifi đi kèm BH 1 năm
Bảo hành 10 năm</t>
  </si>
  <si>
    <t>LUXPOWER HYBRID
3 Pha Áp cao Hybrid Trip-10K 10kW
Hỗ trợ Acquy / Lithium 100-700V
Dòng sạc xả 25A/25A
PV đầu vào 2 MPPT 20A/20A
Công suất DC tối đa 15kW
On-grid/Backup 10kW
Cài đặt tùy chình nhiều chế độ
Bám tải, độc lập riêng biệt từng pha 0kW/5kW/5kW
Song song 10 máy tăng công suất
Wifi đi kèm BH 1 năm
Bảo hành 10 năm</t>
  </si>
  <si>
    <t>LUXPOWER HYBRID
3 Pha Áp cao Hybrid Trip-25K 25kW
Hỗ trợ Acquy / Lithium 100-700V
Dòng sạc xả 50A/50A
PV đầu vào 3 MPPT 40A/40A/40A
Công suất DC tối đa 37.5kW
On-grid/Backup 25kW
Cài đặt tùy chình nhiều chế độ
Bám tải, độc lập riêng biệt từng pha 0kW/12.5kW/12.5kW
Song song 10 máy tăng công suất
Wifi đi kèm BH 1 năm
Bảo hành 10 năm</t>
  </si>
  <si>
    <t>LONGi
Top1 Thế giới</t>
  </si>
  <si>
    <t>BATTERY LV-BST-H5.12Aa 5.12kWh
- Điện áp: 51.2V
- Dung lượng định mức: 5.12kWh
- Dòng sạc/xả khuyến nghị: 50A
- Dòng sạc/xả tối đa: 100A
- Độ xả sâu (DOD): 80%
- Cycle life (250C): 6000 Cycle
- Độ kín khít: IP65
- Thời gian bảo hành: tiêu chuẩn 10 năm và hiệu suất &gt;70% sau 10 năm</t>
  </si>
  <si>
    <t>Battery Lithium Goodwe LX D5.0-10
- Dung lượng định mức: 5kWh
- Độ xả sâu (DOD): 95%
- Cycle life (250C): &gt; 6000 cycle
- Đã gồm module BMS
- Tương thích với Inverter hybrid Goodwe HV 8-30kW
- Độ kín khít: IP66
- Tối đa 1 tháp 8 battery tương đương 40kWh
- Thời gian bảo hành: 7 năm</t>
  </si>
  <si>
    <t>LXD5</t>
  </si>
  <si>
    <t>Battery Lithium Goodwe GW51.2-BAT-G10
- Điện áp: 512V
- Dung lượng định mức: 51.2kWh
- Độ xả sâu (DOD): 95%
- Cycle life (250C): &gt; 6000 cycle
- Đã gồm module PCU và cáp kết nối
- Chưa gồm kệ Rack
- Tương thích với Inverter hybrid Goodwe HV 40-50kW
- Độ kín khít: IP20
- Thời gian bảo hành: 5 năm</t>
  </si>
  <si>
    <t>LX50</t>
  </si>
  <si>
    <t>LX56</t>
  </si>
  <si>
    <t>Battery Lithium Goodwe GW56.3-BAT-G10
- Điện áp: 563V
- Dung lượng định mức: 56.3kWh
- Độ xả sâu (DOD): 95%
- Cycle life (250C): &gt; 6000 cycle
- Đã gồm module PCU và cáp kết nối
- Chưa gồm kệ Rack
- Tương thích với Inverter hybrid Goodwe HV 40-50kW
- Độ kín khít: IP20
- Thời gian bảo hành: 5 năm</t>
  </si>
  <si>
    <t>sna14</t>
  </si>
  <si>
    <t>LUXPOWER HYBRID 6kW
Model : SNA 6K
Tích hợp sẵn cổng CT ngoài ( giá đã bao gồm CT ngoài )
PV 2MPPT 9.6kW
Cho phép tối đa song song 16 máy  thành1 pha hoặc 3 pha
Wifi đi kèm BH 1 năm
Bảo hành 3 năm ( mở rộng 5 năm thêm 20% )</t>
  </si>
  <si>
    <t>LUXPOWER HYBRID 5kW mẫu mới
Model : SNA 5K
Tích hợp sẵn cổng CT ngoài ( giá đã bao gồm CT ngoài )
PV 2MPPT 8kW
Sạc xả 5kW/100A
Cho phép tối đa song song 16 máy lên 80kW
Wifi đi kèm BH 1 năm
Bảo hành 3 năm</t>
  </si>
  <si>
    <t>Inverter hybrid INVT 50kw 3 pha XD50KTR (Áp cao)
- 4 MPPT, 8 DC input, Max DC 150%
- Điện áp battery: 300-800 Lithium HV
- Công suất ngõ ra dự phòng: 50kW
- Công suất ngõ ra dự phòng tối đa: 75kW, 10s
- Hỗ trợ 3 pha không cân bằng
- Tích hợp SPD loại II (DC&amp;AC), bộ bảo vệ quá điện áp và bảo vệ dòng điện rò
- Tương thích cùng Bộ lưu trữ áp cao Lithium Valley
- Tặng kèm wifi &amp; đồng hồ bám tải
- Bảo hành : 5 năm</t>
  </si>
  <si>
    <t>Inverter hybrid INVT 60kw 3 pha XD60KTR (Áp cao)
- 4 MPPT, 8 DC input, Max DC 150%
- Điện áp battery: 300-800 Lithium HV
- Công suất ngõ ra dự phòng: 60kW
- Công suất ngõ ra dự phòng tối đa: 90kW, 10s
- Hỗ trợ 3 pha không cân bằng
- Tích hợp SPD loại II (DC&amp;AC), bộ bảo vệ quá điện áp và bảo vệ dòng điện rò
- Tương thích cùng Bộ lưu trữ áp cao Lithium Valley
- Tặng kèm wifi &amp; đồng hồ bám tải
- Bảo hành : 5 năm</t>
  </si>
  <si>
    <t>S8</t>
  </si>
  <si>
    <t>Biến tần Solis 3pha điện áp thấp ( lắp chung với lưu trữ áp thấp )
Công suất : 8kW
Model : S6-EH3P8K02-NV-YD-L
Bảo hành : 5 năm</t>
  </si>
  <si>
    <t>S10</t>
  </si>
  <si>
    <t>S12</t>
  </si>
  <si>
    <t>S15</t>
  </si>
  <si>
    <t>SOLIS</t>
  </si>
  <si>
    <t>Biến tần Solis 3pha điện áp thấp ( lắp chung với lưu trữ áp thấp )
Công suất : 10kW
Model : S6-EH3P10K02-NV-YD-L
Bảo hành : 5 năm</t>
  </si>
  <si>
    <t>Biến tần Solis 3pha điện áp thấp ( lắp chung với lưu trữ áp thấp )
Công suất : 12kW
Model : S6-EH3P12K02-NV-YD-L
Bảo hành : 5 năm</t>
  </si>
  <si>
    <t>Biến tần Solis 3pha điện áp thấp ( lắp chung với lưu trữ áp thấp )
Công suất : 15kW
Model : S6-EH3P15K02-NV-YD-L
Bảo hành : 5 năm</t>
  </si>
  <si>
    <t>HUAWEI 3PHA KHÔNG CÂN BẰNG</t>
  </si>
  <si>
    <t>HW10</t>
  </si>
  <si>
    <t>Biến tần Hybrid 3pha HUAWEI , Hỗ trợ 3pha không cân bằng
Model : SUN2000-10K-MAP0 
Bảo hành : 10 năm</t>
  </si>
  <si>
    <t>HUAWEI</t>
  </si>
  <si>
    <t>GOODWE</t>
  </si>
  <si>
    <t>GEN26</t>
  </si>
  <si>
    <t>HI11.8</t>
  </si>
  <si>
    <t>Hina 11.8kWh  Pin Lithium HinaESS 
Bảo hành BMS 5 năm
Bảo hành dung lượng 10 năm hoặc 6000/8000 chu kì còn lại tối thiểu 70% danh định
Thương hiệu pin Lithium cao cấp của LuxPower, đồng bộ với LuxPower
BMS thông minh cho phép cập nhật phần mềm từ xa, đọc thông số của pin từ xa,xem chi tiết từng module pin, xử lý sự cố từ xa thông qua server LuxPower
Điện áp: 51.2V / 16S
Dung lượng: 230Ah -11.8kWh
Dòng sạc/xả cho phép liên tục 140A
Sử dụng cell A+ cao cấp 
DOD 90% - 6000 cycles
Thiết kế dạng rack</t>
  </si>
  <si>
    <t>LUXPOWER GEN6 Thế hệ 2. IP66
Hybrid GEN2-LB-EU 6K
Hỗ trợ Acquy / Lithium 40-60V
PV đầu vào 2 MPPT 18A/18A
PV cho phép lắp đặt 12kWp
Công suất DC chuyển đồi 9.6kW
On-grid/Backup 6kW
Công suất sạc/xả 6000W 125A/140A
Cài đặt tùy chình nhiều chế độ
Ghép song song nhiều máy chạy 1 pha hoặc 3 pha
Wifi đi kèm BH 1 năm
Bảo hành tiêu chuẩn 5 năm ( mở rộng 10 năm nếu lắp chung lưu trữ LUXPOWER HINAESS )</t>
  </si>
  <si>
    <t xml:space="preserve">SOLIS </t>
  </si>
  <si>
    <t xml:space="preserve"> SOLIS 
3 PHA ÁP THẤP</t>
  </si>
  <si>
    <t>SOLIS 
1PHA</t>
  </si>
  <si>
    <t>Inverter HYBRID thương hiệu SOLIS công suất 5KW ( 1P - 220V ), có màn hình LCD
Model : S6-EH1P5K-L-PLUS
Bảo hành : 5 năm</t>
  </si>
  <si>
    <t>SL5</t>
  </si>
  <si>
    <t>SL6</t>
  </si>
  <si>
    <t>SL8</t>
  </si>
  <si>
    <t>SL12</t>
  </si>
  <si>
    <t>SL16</t>
  </si>
  <si>
    <t>Inverter HYBRID thương hiệu SOLIS công suất 6KW ( 1P - 220V ), có màn hình LCD
Model : S6-EH1P6K-L-PLUS
Bảo hành : 5 năm</t>
  </si>
  <si>
    <t>Inverter HYBRID thương hiệu SOLIS công suất 16KW ( 1P - 220V ), có màn hình LCD
Model :S6-EH1P16K03-NV-YD-L
Bảo hành : 5 năm</t>
  </si>
  <si>
    <t>Inverter HYBRID thương hiệu SOLIS công suất 12KW ( 1P - 220V ), có màn hình LCD
Model : S6-EH1P12K03-NV-YD-L
Bảo hành : 5 năm</t>
  </si>
  <si>
    <t>BATTERY DYNESS</t>
  </si>
  <si>
    <t>ÁP THẤP</t>
  </si>
  <si>
    <t>Battery lưu trữ 51.2V100Ah công suất 5.12KWh thương hiệu DYNESS
TOP 8.
Model : DL5.0C
- Cell BYD, công nghệ cell pin LFP.
- Chu kì sạc/xả: &gt; 8000 lần; Độ xả sâu: 90%
- Dòng điện sạc/xả tối đa: 75A/100A
- IP bảo vệ: IP20; Giao tiếp: CAN/RS485/RS232 và APP giám sát từ xa
- Bảo hành: 7 năm</t>
  </si>
  <si>
    <t>D5</t>
  </si>
  <si>
    <t>Battery lưu trữ 51.2V280Ah công suất 14.336KWh thương hiệu
DYNESS TOP 8.
Model : PowerBrick
- Cell CALB, công nghệ cell pin LFP.
- Chu kì sạc/xả: &gt; 8000 lần
- Độ xả sâu: 95%
- dòng điện sạc/xả tối đa: 200A
- IP bảo vệ: IP20
- Giao tiếp: CAN/RS485 và APP giám sát từ xa
- Bảo hành: 10 năm không giới hạn số lần sạc/xả.</t>
  </si>
  <si>
    <t>D14</t>
  </si>
  <si>
    <t>DYNESS</t>
  </si>
  <si>
    <t>TỰ LẮP</t>
  </si>
  <si>
    <t>CỘT 8 - MIN</t>
  </si>
  <si>
    <t>CỘT 9 - KHÁCH CUỐI</t>
  </si>
  <si>
    <t>Battery Lithium Valley (200Ah 51.2V)
 Model :  LV-BAT-W10.24Ac
- Dung lượng định mức: 10.24kWh
- Dòng xả khuyến nghị: 0.5C
- Độ xả sâu (DOD): 90%
- Cấp độ bảo vệ : IP65
- Đã bao gồm cáp kết nối đi cùng
- Cân nặng :106 kG, kích thước :  800*590*142mm.
- Thời gian bảo hành:  10 năm</t>
  </si>
  <si>
    <t>Battery Lithium Valley (100Ah 51.2V)
 Model : LV-BAT-W5.12Ac
- Dung lượng định mức: 5.12kWh
- Dòng xả khuyến nghị: 0.5C
- Độ xả sâu (DOD): 90%
- Cấp độ bảo vệ : IP65
- Đã bao gồm cáp kết nối đi cùng
- Cân nặng : 54kG, Kích thước : 520*470*141.5mm
- Thời gian bảo hành:  10 năm</t>
  </si>
  <si>
    <t>IN80</t>
  </si>
  <si>
    <r>
      <rPr>
        <b/>
        <sz val="8"/>
        <color rgb="FF002060"/>
        <rFont val="Segoe UI"/>
        <family val="2"/>
      </rPr>
      <t>Inverter hòa lưới 80kw 3 pha XG80KTR
Bảo hành 5 năm
Tích hợp tính năng AFCI chống cháy nổ cao cấp</t>
    </r>
    <r>
      <rPr>
        <sz val="8"/>
        <color rgb="FF002060"/>
        <rFont val="Segoe UI"/>
        <family val="2"/>
      </rPr>
      <t xml:space="preserve">
On-grid inverter with 4 MPPTs,3 phase，230V/400V，80KW，AC output current 133.4A
- Đã kèm Wifi LSW-5
</t>
    </r>
    <r>
      <rPr>
        <sz val="8"/>
        <color rgb="FFFF0000"/>
        <rFont val="Segoe UI"/>
        <family val="2"/>
      </rPr>
      <t xml:space="preserve">Bộ ngắt mạch lỗi hồ quang (AFCI) và chức năng an toàn trong hệ thống điện mặt trời </t>
    </r>
  </si>
  <si>
    <t>SG3</t>
  </si>
  <si>
    <t>C1</t>
  </si>
  <si>
    <t>E1</t>
  </si>
  <si>
    <t>LUNA2000 - C1 - POWER MODULE 
- Bộ điều khiển 10 Kw - Chống cháy 5 lớp
- Bộ Nguồn Pin lưu trữ. Kết nối tối đa 3 bộ lưu trữ 6.9kwh tạo thành 21kwh. Tối đa 3 hệ đấu song song lên tới 63  Kwh. 
Độ ồn &lt; 29 dB. Nhiều chế độ sử dụng thông minh: TOU (Time of Use: Cài sạc xả theo giờ, theo ngày), 
- Maximum consumption: Tối ưu tự sử dụng. Dùng được cho inverter 1 pha và 3 pha của Huawei. 
- Cấp bảo vệ IP66  đặt ngoài trời, an toàn cho người sử dụng.
- Bảo hành : 10 năm</t>
  </si>
  <si>
    <t>SmartGuard-63A-T0 (3 Pha)
- Dự phòng toàn bộ ngôi nhà, không cần thêm cầu dao và chia tải. 
- Chuyển mạch siêu nhanh trong ≤20ms khi mất 
lưới điện. 
- Cung cấp chế độ rẽ nhánh khi lỗi xảy ra. Điều khiển tải thông minh với EMMA được tích hợp. (Đã tích hợp Smart Meter)
- Bảo hành : 10 năm</t>
  </si>
  <si>
    <t xml:space="preserve"> LUNA2000 - E1 - BATTERY MODULE 
- Pin lưu trữ 6.9 Kwh/pack - Chống cháy 5 lớp
- Bộ lưu trữ 6.9kwh. 
- DOD: 100%. 
- Cấp bảo vệ: IP66, đặt ngoài trời, an toàn cho người sử dụng. 
- Điện áp cao, tối ưu hóa sạc xả trong thời gian ngắn. 
- Cấu trúc thiết kế Optimizer cho từng Pack Battery, dễ dàng nâng cấp không ảnh hưởng hiệu suất. 
- 6 Lớp bảo vệ an toàn cháy nổ, đặc biệt an toàn cho người dùng, đặc biệt có túi chống cháy chủ động trong tình huống xấu nhất. 
- Thiết kế tối ưu diện tích, đẹp mắt.
- Bảo hành : 10 năm</t>
  </si>
  <si>
    <t>Inverter hybrid Goodwe 50kw 3 pha GW50K-ET (Áp cao)
- 2 MPPT, 4 DC input, Max DC 150%
- Điện áp battery: 200V-800V Lithium HV
- Công suất ngõ ra dự phòng: 50kW
- Công suất ngõ ra dự phòng tối đa: 55kW, 60s - 75kW . 10s
- Hỗ trợ 3 pha không cân bằng
- Tích hợp SPD loại II (DC&amp;AC), bộ bảo vệ quá điện áp và bảo vệ dòng điện rò
- Tặng kèm wifi &amp; đồng hồ bám tải</t>
  </si>
  <si>
    <t>hi16</t>
  </si>
  <si>
    <t>Pin Lithium HinaESS
PowerGem Max -   16kWh
Bảo hành BMS 5 năm
Bảo hành dung lượng 10 năm hoặc  8000 chu kì còn lại tối thiểu 70% danh định
Thương hiệu pin Lithium cao cấp của LuxPower, đồng bộ với LuxPower
BMS thông minh cho phép cập nhật phần mềm từ xa, đọc thông số của pin từ xa,xem chi tiết từng module pin, xử lý sự cố từ xa thông qua server LuxPower
Điện áp: 51.2V / 16S
Dung lượng: 314Ah -16 kWh
Dòng sạc/xả cho phép liên tục 200A
Sử dụng cell A+ cao cấp 
DOD 90% - 8000 cycles
Thiết kế dạng treo tường hoặc đặt đứng , có bánh xe</t>
  </si>
  <si>
    <t>L12</t>
  </si>
  <si>
    <t>L15</t>
  </si>
  <si>
    <t>3 PHA ÁP THẤP LUX</t>
  </si>
  <si>
    <t>XD6</t>
  </si>
  <si>
    <t>XD10</t>
  </si>
  <si>
    <t>XD50</t>
  </si>
  <si>
    <t>XD60</t>
  </si>
  <si>
    <t>GL10</t>
  </si>
  <si>
    <t>GL15</t>
  </si>
  <si>
    <t>GL20</t>
  </si>
  <si>
    <t>GOODWE 3 PHA ÁP THẤP</t>
  </si>
  <si>
    <t>Inverter hybrid Goodwe 15kw 3 pha (Áp thấp)
Model : GW15K-ET-L-G10
- 3 MPPT, 6 DC input, Max DC 200%
- Điện áp battery: 40-60V Lithium/ Lead Acid
- Công suất ngõ ra dự phòng: 10kW , tối đa: 30kW, 10s
- Chuyển mạch UPS ≤4ms
- Hỗ trợ không cân pha lên tới 150%
- Tích hợp SPD (DC&amp;AC), bộ bảo vệ quá điện áp và bảo vệ dòng điện rò
- Đấu nối song song từ 2 inverter khi sử dụng thiết bị Smart Dongle
- Tương thích cùng bộ lưu trữ Goodwe
- Tặng kèm wifi &amp; CT bám tải
- Khi lắp Battery Goodwe, được mở rộng bảo hành lên 10 năm</t>
  </si>
  <si>
    <t>Inverter hybrid Goodwe 10kw 3 pha (Áp thấp)
Model : GW10K-ET-L-G10 
- 3 MPPT, 6 DC input, Max DC 200%
- Điện áp battery: 40-60V Lithium/ Lead Acid
- Công suất ngõ ra dự phòng: 10kW , tối đa: 20kW, 10s
- Chuyển mạch UPS ≤4ms
- Hỗ trợ không cân pha lên tới 150%
- Tích hợp SPD (DC&amp;AC), bộ bảo vệ quá điện áp và bảo vệ dòng điện rò
- Đấu nối song song từ 2 inverter khi sử dụng thiết bị Smart Dongle
- Tương thích cùng bộ lưu trữ Goodwe
- Tặng kèm wifi &amp; CT bám tải
- Khi lắp cùng Battery Goodwe, được mở rộng bảo hành lên 10 năm</t>
  </si>
  <si>
    <t>Inverter hybrid Goodwe 20kw 3 pha (Áp thấp)
Model : GW20K-ET-L-G10
- 3 MPPT, 6 DC input, Max DC 200%
- Điện áp battery: 40-60V Lithium/ Lead Acid
- Công suất ngõ ra dự phòng: 10kW , tối đa: 40kW, 10s
- Chuyển mạch UPS ≤4ms
- Hỗ trợ không cân pha lên tới 150%
- Tích hợp SPD (DC&amp;AC), bộ bảo vệ quá điện áp và bảo vệ dòng điện rò
- Đấu nối song song từ 2 inverter khi sử dụng thiết bị Smart Dongle
- Tương thích cùng bộ lưu trữ Goodwe
- Tặng kèm wifi &amp; CT bám tải
- Khi lắp cùng Battery Goodwe, được mở rộng bảo hành lên 10 năm</t>
  </si>
  <si>
    <t>PYLONTECH
TOP 1 TG 2022</t>
  </si>
  <si>
    <t>mg5</t>
  </si>
  <si>
    <t>mg6</t>
  </si>
  <si>
    <t>SMA</t>
  </si>
  <si>
    <t>SMA110</t>
  </si>
  <si>
    <t>SMA125</t>
  </si>
  <si>
    <t>ED20</t>
  </si>
  <si>
    <t>SMA
Hãng Đức</t>
  </si>
  <si>
    <t>Biến tần SMA SUNNY TRIPOWER CORE2 - Thương hiệu Đức
- Model : STP110-60
- Công suất : 110 kW
- 12 MPPT, 24 String
- Tích hợp AFCI chống cháy nổ
- Chuẩn IP66
- Bảo hành 5 năm</t>
  </si>
  <si>
    <t>Biến tần SMA Sunny Tripower 125 - Thương hiệu Đức
- Model : STP 125-70
- Công suất : 125 kW
- 12 MPPT, 24 String
- Tích hợp AFCI chống cháy nổ
- Chuẩn IP65
- Bảo hành 5 năm</t>
  </si>
  <si>
    <t xml:space="preserve"> Bộ bám tải SMA bao gồm :
- Bộ EDMM-20
- E Metter</t>
  </si>
  <si>
    <t>SOLAX</t>
  </si>
  <si>
    <t>Inverter hybrid SolaX 10kw 1 pha X1-Lite-10.0-LV (Áp thấp)
- 2 MPPT, 4 DC input, Max DC 200%
- Điện áp battery: 48V Lithium
- Công suất ngõ ra dự phòng: 10kW
- Công suất ngõ ra dự phòng tối đa: 20kW, 10s
- Chuyển mạch backup &lt;6ms
- Tích hợp SPD (DC&amp;AC), bộ bảo vệ quá điện áp và bảo vệ dòng điện rò
- Tương thích cùng bộ lưu trữ SolaX và bộ lưu trữ giao thức chuẩn Pylon
- Tặng kèm wifi &amp; CT bám tải
- Bảo hành 7 năm
- Khi cấu hình cùng Battery SolaX, được mở rộng bảo hành lên 10 năm</t>
  </si>
  <si>
    <t>Inverter hybrid SolaX 12kw 1 pha X1-Lite-12.0-LV (Áp thấp)
- 3 MPPT, 6 DC input, Max DC 200%
- Điện áp battery: 48V Lithium
- Công suất ngõ ra dự phòng: 12kW
- Công suất ngõ ra dự phòng tối đa: 24kW, 10s
- Chuyển mạch backup &lt;6ms
- Tích hợp SPD (DC&amp;AC), bộ bảo vệ quá điện áp và bảo vệ dòng điện rò
- Tương thích cùng bộ lưu trữ SolaX và bộ lưu trữ giao thức chuẩn Pylon
- Tặng kèm wifi &amp; CT bám tải
- Bảo hành 7 năm
- Khi cấu hình cùng Battery SolaX, được mở rộng bảo hành lên 10 năm</t>
  </si>
  <si>
    <t>Inverter hybrid SolaX 15kw 3 pha X3-NEO-15K-LV (Áp thấp)
- 2 MPPT, 4 DC input, Max DC 200%
- Điện áp battery: 48V Lithium
- Công suất ngõ ra dự phòng: 15kW
- Công suất ngõ ra dự phòng tối đa: 30kW, 10s
- Chuyển mạch backup &lt;3ms
- Tích hợp SPD (DC&amp;AC), bộ bảo vệ quá điện áp và bảo vệ dòng điện rò
- Tương thích cùng bộ lưu trữ SolaX và bộ lưu trữ giao thức chuẩn Pylon
- Tặng kèm wifi &amp; CT bám tải
- Bảo hành 7 năm
- Khi cấu hình cùng Battery SolaX, được mở rộng bảo hành lên 10 năm</t>
  </si>
  <si>
    <t>Inverter hybrid SolaX 20kw 3 pha X3-NEO-20K-LV (Áp thấp)
- 2 MPPT, 4 DC input, Max DC 200%
- Điện áp battery: 48V Lithium
- Công suất ngõ ra dự phòng: 20kW
- Công suất ngõ ra dự phòng tối đa: 40kW, 10s
- Chuyển mạch backup &lt;3ms
- Tích hợp SPD (DC&amp;AC), bộ bảo vệ quá điện áp và bảo vệ dòng điện rò
- Tương thích cùng bộ lưu trữ SolaX và bộ lưu trữ giao thức chuẩn Pylon
- Tặng kèm wifi &amp; CT bám tải
- Bảo hành 7 năm
- Khi cấu hình cùng Battery SolaX, được mở rộng bảo hành lên 10 năm</t>
  </si>
  <si>
    <t>X8</t>
  </si>
  <si>
    <t>X10</t>
  </si>
  <si>
    <t>X12</t>
  </si>
  <si>
    <t>Battery Lithium SolaX T-BAT-SYS-LV D150 (314Ah 48V)
- Điện áp: 48V
- Dung lượng định mức: 15kWh
- Dòng sạc/xả khuyến nghị: 140A
- Độ xả sâu (DOD): 90%
- Cycle life: 6000 Cycles
- Chuẩn chống bụi, nước: IP65
- Tương thích với Inverter hybrid SolaX 1P/3P áp thấp và các dòng Inverter có
chuẩn giao thức Pylon
- Thời gian bảo hành: tiêu chuẩn 5 năm khi lắp cùng Inverter ngoài SolaX
- Mở rộng bảo hành Combo SolaX lên 10 năm khi lắp đặt</t>
  </si>
  <si>
    <t>Battery Lithium SolaX TSYS-LD160 (314Ah 51.2V)
- Điện áp: 51.2V
- Dung lượng định mức: 16kWh
- Dòng sạc/xả khuyến nghị: 155A
- Độ xả sâu (DOD): 95%
- Cycle life: 8000 Cycles
- Chuẩn chống bụi, nước: IP40
- Tương thích với Inverter hybrid SolaX 1P/3P áp thấp và các dòng Inverter có
chuẩn giao thức Pylon
- Thời gian bảo hành: tiêu chuẩn 5 năm khi lắp cùng Inverter ngoài SolaX
- Mở rộng bảo hành Combo SolaX lên 10 năm khi lắp đặt</t>
  </si>
  <si>
    <t>sve6</t>
  </si>
  <si>
    <t>Hybrid SVE 6K Plus 
Model: HB-SVE 1P/6K Plus
PV lắp đặt 12kwp
PV 2MPPT 9kW 
On-grid/Back-up 6kW
Sạc xả 6kW/135A
Tương thích Pin lưu trữ 48-51.2V
Khuyến nghị sử dụng Pin chính hãng có giao tiếp với Inverter
Thân máy bảo hành 5 năm
Wifi, CT đi kèm BH 1 năm</t>
  </si>
  <si>
    <t>sve16.6</t>
  </si>
  <si>
    <t>VL16</t>
  </si>
  <si>
    <t>Battery Lithium Valley 16kWh
Model : W16-5A 
- Điện áp: 51.2V
- Dung lượng định mức: 16kWh
- Dòng sạc/xả khuyến nghị: 140A
- Dòng sạc/xả tối đa: 200A
- Độ xả sâu (DOD): 80%
- Cycle life (250C): 6000 Cycle
- Cell: REPT Grade A
- Độ kín khít: IP65
- Đã gồm cáp kết nối lên inverter dài 1.5m
- Tương thích với hầu hết các Inverter áp thấp trên thị trường
- Thời gian bảo hành: tiêu chuẩn 10 năm và hiệu suất &gt;70% sau 10 năm</t>
  </si>
  <si>
    <t>Inverter hybrid SolaX 10kw 3 pha X3-NEO-10K-LV (Áp thấp)
- 2 MPPT, 3 DC input, Max DC 200%
- Điện áp battery: 48V Lithium
- Công suất ngõ ra dự phòng: 10kW
- Công suất ngõ ra dự phòng tối đa: 20kW, 10s
- Chuyển mạch backup &lt;3ms
- Tích hợp SPD (DC&amp;AC), bộ bảo vệ quá điện áp và bảo vệ dòng điện rò
- Tương thích cùng bộ lưu trữ SolaX và bộ lưu trữ giao thức chuẩn Pylon
- Tặng kèm wifi &amp; CT bám tải
- Bảo hành 7 năm
- Khi cấu hình cùng Battery SolaX, được mở rộng bảo hành lên 10 năm</t>
  </si>
  <si>
    <t>NEO10</t>
  </si>
  <si>
    <t>NEO15</t>
  </si>
  <si>
    <t>NEO20</t>
  </si>
  <si>
    <t>SOLAX 3 PHA ÁP THẤP</t>
  </si>
  <si>
    <t>SOLAX 1 PHA</t>
  </si>
  <si>
    <t>X5</t>
  </si>
  <si>
    <t>X6</t>
  </si>
  <si>
    <t>Inverter hybrid SolaX 5kw 1 pha X1-HYB-5.0-LV-EU (Áp thấp)
- 2 MPPT, 2 DC input, Max DC 200%
- Điện áp battery: 48V Lithium
- Công suất ngõ ra dự phòng: 5kW
- Công suất ngõ ra dự phòng tối đa: 10kW, 10s
- Chuyển mạch backup &lt;4ms
- Tích hợp SPD (DC&amp;AC), bộ bảo vệ quá điện áp và bảo vệ dòng điện rò
- Tương thích cùng bộ lưu trữ SolaX và bộ lưu trữ giao thức chuẩn Pylon
- Tặng kèm wifi &amp; CT bám tải
- Bảo hành 7 năm
- Khi cấu hình cùng Battery SolaX, được mở rộng bảo hành lên 10 năm</t>
  </si>
  <si>
    <t>Inverter hybrid SolaX 6kw 1 pha X1-HYB-6.0-LV-EU (Áp thấp)
- 2 MPPT, 2 DC input, Max DC 200%
- Điện áp battery: 48V Lithium
- Công suất ngõ ra dự phòng: 6kW
- Công suất ngõ ra dự phòng tối đa: 12kW, 10s
- Chuyển mạch backup &lt;4ms
- Tích hợp SPD (DC&amp;AC), bộ bảo vệ quá điện áp và bảo vệ dòng điện rò
- Tương thích cùng bộ lưu trữ SolaX và bộ lưu trữ giao thức chuẩn Pylon
- Tặng kèm wifi &amp; CT bám tải
- Bảo hành 7 năm
- Khi cấu hình cùng Battery SolaX, được mở rộng bảo hành lên 10 năm</t>
  </si>
  <si>
    <t>HYBRID 1PHA</t>
  </si>
  <si>
    <t>HYBRID 3 PHA ÁP CAO</t>
  </si>
  <si>
    <t>LƯU TRỮ VALLEY ÁP CAO</t>
  </si>
  <si>
    <t>LƯU TRỮ VALLEY ÁP THẤP</t>
  </si>
  <si>
    <t>HYBRID SVE</t>
  </si>
  <si>
    <t>VALLEY</t>
  </si>
  <si>
    <t>INVT HÒA LƯỚI</t>
  </si>
  <si>
    <t>BIẾN TẦN BƠM INVT</t>
  </si>
  <si>
    <t>HYBRID 1 PHA</t>
  </si>
  <si>
    <t>SOLAX
TẬP ĐOÀN DAT</t>
  </si>
  <si>
    <t>BỘ BMS CHO BATTERY LV-BST-H5.12Aa
- Quản lý module battery LV-BST-H5.12Aa
- Lắp đặt từ 3 đến 10 module/ tháp tương ứng từ 15kWh đến 51.12 kWh
- 1 Inverter lắp song song tối đa 4 tháp</t>
  </si>
  <si>
    <t>Valley
TẬP ĐOÀN DAT</t>
  </si>
  <si>
    <t>TCL
TẬP ĐOÀN DAT</t>
  </si>
  <si>
    <t>INVT
TẬP ĐOÀN DAT</t>
  </si>
  <si>
    <t>INVT HYBRID 6kW - Bản cao cấp mới nhất từ INVT
Model : XD6 KTL
Tích hợp các tính năng bảo vệ chỉ có trên dòng cao cấp :
-IP66 chống nước, chống bụi.
-Bảo vệ ngược cực DC.
-Bảo vệ sự cố cách li.
-Bảo vệ quá dòng/ quá áp.
-Bảo vệ khởi động mềm pin lưu trữ.
-Tính năng AFCI chống cháy nổ ( tùy chọn)
DC đầu vào 2MPPT , 16A/16A
Công suất DC tối đa 9kW
Hòa lưới On-grid 6kW, đỉnh 6kW
Chạy độc lập Back-up 6kW, đỉnh 7.5kW
Cài đặt tùy chỉnh nhiều chế độ
Bảo hành tiêu chuẩn : 7 năm
Bảo hành mở rộng 10 năm từ QUANG THANH khi lắp cùng Lithium Valley</t>
  </si>
  <si>
    <t>INVT HYBRID 10kW - Bản cao cấp mới nhất từ INVT
Model : XD-10KTL
Tích hợp các tính năng bảo vệ chỉ có trên dòng cao cấp :
-IP66 chống nước, chống bụi.
-Bảo vệ ngược cực DC.
-Bảo vệ sự cố cách li.
-Bảo vệ quá dòng/ quá áp.
-Bảo vệ khởi động mềm pin lưu trữ.
-Tính năng AFCI chống cháy nổ ( tùy chọn)
DC đầu vào 2MPPT , 40A/20A
Công suất DC tối đa 16kW
Hòa lưới On-grid 10kW, đỉnh 11kW
Chạy độc lập Back-up 11kW, đỉnh 18kW
Cài đặt tùy chỉnh nhiều chế độ
Bảo hành tiêu chuẩn : 7 năm 
Bảo hành mở rộng 10 năm từ QUANG THANH khi lắp cùng Lithium Valley</t>
  </si>
  <si>
    <t>3 PHA ÁP CAO HYBRID</t>
  </si>
  <si>
    <t>INVT HYBRID</t>
  </si>
  <si>
    <t>sna10</t>
  </si>
  <si>
    <t>ECO Hybrid 10kW
Model: SNA2 10K
PV 2MPPT 18kW 26A/26A
On-grid/Back-up 10kW
Sạc xả 11kW/230A
Hỗ trợ Acquy / Lithium 48V
Thân máy bảo hành 3 năm
Wifi, CT đi kèm BH 1 năm</t>
  </si>
  <si>
    <t>ECO Hybrid 12kW
Model: SNA2 12K
PV 2MPPT 24kW 35A/35A
On-grid/Back-up 12kW
Sạc xả 12kW/250A
Hỗ trợ Acquy / Lithium 48V
Thân máy bảo hành 3 năm
Wifi, CT đi kèm BH 1 năm</t>
  </si>
  <si>
    <t>ECO Hybrid 14kW
Model: SNA2 14K
PV 2MPPT 24kW 35A/35A
On-grid/Back-up 14kW
Sạc xả 13kW/270A
Hỗ trợ Acquy / Lithium 48V
Thân máy bảo hành 3 năm
Wifi, CT đi kèm BH 1 năm</t>
  </si>
  <si>
    <t>S18</t>
  </si>
  <si>
    <t>Inverter Hybrid Solis 3 pha áp thấp  ( lắp chung với lưu trữ áp thấp )
Công suất : 18kW
Model : S6-EH3P18K02-NV-YD-L
Bảo hành  : 5 năm</t>
  </si>
  <si>
    <t>SL14</t>
  </si>
  <si>
    <t>Inverter HYBRID thương hiệu SOLIS công suất 14KW ( 1P - 220V ), có màn hình LCD
Model : S6-EH1P14K03-NV-YD-L
Bảo hành : 5 năm</t>
  </si>
  <si>
    <t>sma15</t>
  </si>
  <si>
    <t>Biến tần SMA Sunny Tripower X15 - Thương hiệu Đức
- Hàng sản xuất tại Đức
- Model : Sunny Tripower X15
- Công suất : 15 kW
- 2 MPPT, 3 String
- Tích hợp AFCI chống cháy nổ
- Chuẩn IP65
- Bảo hành 5 năm</t>
  </si>
  <si>
    <t>Battery hãng PYLONTECH, Top 1 Thế giới về lưu trữ dân dụng 2022
Model : FB-L-16 
Điện áp/Nominal Voltage (Vdc): 51.2
Dung lượng định mức: 16 kWh
Depth of Discharge (DOD): 100%
Charge/Discharge Current (A): 200A
Cycle life (25⁰C): &gt; 8000
Đã bao gồm Cáp kết nối
Thời gian bảo hành: 10 năm</t>
  </si>
  <si>
    <t>FB16</t>
  </si>
  <si>
    <t>sve14</t>
  </si>
  <si>
    <t>SVE LITE 14.3 kWh 
Điện áp: 51.2V
Dung lượng: 280Ah -14.3 kWh
Dòng sạc/xả cho phép liên tục 100A, Max 200A
Sử dụng cell A cao cấp
DOD 80% - 8000 cycles
Thiết kế dạng treo tường hoặc đặt đứng có bánh xe
Bảo hành : 5 năm</t>
  </si>
  <si>
    <t>CHINT</t>
  </si>
  <si>
    <t>Bộ bám tải Zero export chống phát điện dư lên lưới
Smart meter chống phát ngược lưới cho biến tần 3pha , chưa bao gồm  CT</t>
  </si>
  <si>
    <t>EMIC/ Tương đương</t>
  </si>
  <si>
    <t>SNAPro</t>
  </si>
  <si>
    <t>LUXPOWER HYBRID 6.5 kW
Model : SNA Pro 6.5K
Tích hợp sẵn cổng CT ngoài ( giá đã bao gồm CT ngoài )
PV 2MPPT 12kW
Sạc xả 6.5kW/140A
Cho phép tối đa song song 16 máy lên 96kW
Wifi đi kèm BH 1 năm
Bảo hành 6 năm mặc định
Bảo hành mở rộng 7 năm khi lắp chung Battery Luxpower/HinaEss</t>
  </si>
  <si>
    <t>LD15</t>
  </si>
  <si>
    <t>LD16</t>
  </si>
  <si>
    <t>Tấm pin năng lượng mặt trời TCL ( tiền thân là SUNPOWER - Mỹ ) 
Công suất : 615 Wp
Công nghệ: N-Type  TOPCon + Shingling , hiệu suất cao, 198 cells ,2 mặt kính .
Kích thước : 2382x1134x30mm
Trọng lượng : 32.9 kg
Pin đạt tiêu chuẩn khắt khe  như CE,TUV, ISO, IEC....
Hàng sản xuất tại Trung Quốc
Bảo hành kỹ thuật 1 đổi 1 : 15 năm
Bảo hành hiệu suất : 30 năm trên 87.4%</t>
  </si>
  <si>
    <t>Tấm pin năng lượng mặt trời TCL ( tiền thân là SUNPOWER - Mỹ ) 
Công suất : 625 Wp
Công nghệ: N-Type TOPCON  625W, hiệu suất cao, 144 cells ,2 mặt kính .
Kích thước : 2382x1134x30mm
Trọng lượng : 32.9 kg
Pin đạt tiêu chuẩn khắt khe  như CE,VDE, ISO ...
Hàng sản xuất tại Trung Quốc
TOP 5 Nhà máy lớn Toàn Cầu
Bảo hành kỹ thuật : 15 năm
Bảo hành hiệu suất : 30 năm trên 87.4%</t>
  </si>
  <si>
    <t>SL80</t>
  </si>
  <si>
    <t>SL110</t>
  </si>
  <si>
    <t>Inverter hòa lưới Solis-80K-5G-PRO
Công suất : 80 kW
-Tích hợp tính năng AFCI chống cháy nổ cao cấp
- 6 MPPT, hiệu suất tối đa 98,5%
- Tỷ lệ DC/AC &gt; 150%
- Bảo hành 5 năm</t>
  </si>
  <si>
    <t>Inverter hòa lưới Solis-110K-5G-PRO
Công suất : 110 kW
-Tích hợp tính năng AFCI chống cháy nổ cao cấp
- 10 MPPT, hiệu suất tối đa 98,5%
- Tỷ lệ DC/AC &gt; 150%
- Bảo hành 5 năm</t>
  </si>
  <si>
    <t>SL99</t>
  </si>
  <si>
    <t>sl125</t>
  </si>
  <si>
    <t>SOLIS HÒA LƯỚI</t>
  </si>
  <si>
    <t>solis 3pha áp ccao</t>
  </si>
  <si>
    <t>GEN12</t>
  </si>
  <si>
    <t>GEN14</t>
  </si>
  <si>
    <t>LUXPOWER HYBRID 1 PHA THẾ HỆ MỚI GEN2-12K
Model : GEN2-LB-EU 12K 12kW
Hỗ trợ Acquy / Lithium 48V
PV đầu vào 3 MPPT 12000/7000/7000W
PV đầu vào lên tới 26kWp
Công suất DC tổng tối đa 18kW
Sạc xả 12kW/250A
Hòa lưới On-grid 12kW, đỉnh 13.2kVA
Chạy độc lập Back-up 12kW, tức thời 24kW
Cài đặt tùy chình nhiều chế độ
Song song 10 máy thành 1 pha hoặc 3 pha
Wifi, CT đi kèm BH 1 năm</t>
  </si>
  <si>
    <t>LUXPOWER HYBRID 1 PHA THẾ HỆ MỚI GEN2-14K
Model :  GEN2-LB-EU 14K 14kW
Hỗ trợ Acquy / Lithium 48V
PV đầu vào 3 MPPT 12000/7000/7000W
PV đầu vào lên tới 26kWp
Công suất DC tổng tối đa 18kW
Sạc xả 12kW/250A
Hòa lưới On-grid 14kW, đỉnh 13.2kVA
Chạy độc lập Back-up 12kW, tức thời 24kW
Cài đặt tùy chình nhiều chế độ
Song song 10 máy thành 1 pha hoặc 3 pha
Wifi, CT đi kèm BH 1 năm</t>
  </si>
  <si>
    <t>L20</t>
  </si>
  <si>
    <t>LUXPOWER 3 Pha Áp Thấp 20kW
Model :  Trip2-LB-3P 20K 20kW
Công suất PV lắp đặt 40kWp
Công suất DC chuyển đổi tối đa 30kW
Hỗ trợ Acquy / Lithium 40-60V
Dòng sạc xả 250A
PV đầu vào 3 MPPT 1000V tối đa
On-grid/Backup 20kW (PV+Battery)
Song song tối đa 10 máy tăng công suất
Wifi, CT đi kèm BH 1 năm</t>
  </si>
  <si>
    <t>LUXPOWER 3 Pha Áp Thấp 15kW
Model :  TriP2-LB-3P 15K 15kW
Công suất PV lắp đặt 30kWp
Công suất DC chuyển đổi tối đa 22.5kW
Hỗ trợ Acquy / Lithium 40-60V
Dòng sạc xả 250A
PV đầu vào 3 MPPT 1000V tối đa
On-grid/Backup 15kW (PV+Battery)
Song song tối đa 10 máy tăng công suất
Wifi, CT đi kèm BH 1 năm
Bảo hành tiêu chuẩn 5 năm( mở rộng 10 năm nếu lắp chung lưu trữ LUXPOWER HINAESS )</t>
  </si>
  <si>
    <t>LUXPOWER 3 Pha Áp Thấp 12kW
Model : Trip2-LB-3P 12K 12kW
Công suất PV lắp đặt 24kWp
Công suất DC chuyển đổi tối đa 18kW
Hỗ trợ Acquy / Lithium 40-60V
Dòng sạc xả 250A
PV đầu vào 3 MPPT 1000V tối đa
On-grid/Backup 12kW
Song song tối đa 10 máy tăng công suất
Wifi, CT đi kèm BH 1 năm
Bảo hành tiêu chuẩn 5 năm( mở rộng 10 năm nếu lắp chung lưu trữ LUXPOWER HINAESS )</t>
  </si>
  <si>
    <t>LUXPOWER HYBRID 3 Pha Áp cao 30kW
Model : Trip-30kW
Hỗ trợ Acquy / Lithium 100-700V
Dòng sạc xả 50A/50A
PV đầu vào 3 MPPT 40A/40A/40A
Công suất DC tối đa 60kW
On-grid/Backup 30kW
Cài đặt tùy chình nhiều chế độ
Bám tải, độc lập riêng biệt từng pha 0kW/15kW/15kW
Song song 10 máy tăng công suất
Wifi đi kèm BH 1 năm
Bảo hành 10 năm</t>
  </si>
  <si>
    <t>Inverter HYBRID thương hiệu SOLIS công suất 99.9KW 3 pha áp cao
Model : S6-EH3P99.9K10-NV-YD-H
Bảo hành : 5 năm</t>
  </si>
  <si>
    <t>Inverter HYBRID thương hiệu SOLIS công suất 125KW 3 pha áp cao
Model : S6-EH3P125K10-NV-YD-H
Bảo hành : 5 năm</t>
  </si>
  <si>
    <t>AiKO</t>
  </si>
  <si>
    <t>Tấm pin năng lượng mặt trời AiKO
Model : AIKO-G650-MCH72Mw
Công suất : 650 Wp 
Công nghệ  N-Type ABC , 
+ Hiệu suất 24.1 %
+ Chống bóng râm 
+ Ngăn ngừa quá nhiệt cục bộ 
Kích thước : 2382x1134x30mm
Trọng lượng : 27.1kg
Pin đạt tiêu chuẩn khắt khe  như CE, TUV, SA...
Bảo hành kỹ thuật 1đổi 1 : 15 năm
Bảo hành hiệu suất : 30 năm trên 88.85%</t>
  </si>
  <si>
    <t>BYD5</t>
  </si>
  <si>
    <t>BYD ÁP THẤP</t>
  </si>
  <si>
    <t>BYD
TOP 1 
thế giới hiện tại</t>
  </si>
  <si>
    <t>Battery hãng BYD, Top 1 Thế giới về lưu trữ hiện tại 
UF5000 (51.2V 100Ah)
Điện áp/Nominal Voltage (Vdc): 51.2
Dung lượng định mức: 5.12 kWh
Depth of Discharge (DOD): 100%
Charge/Discharge Current (A): 100A
Cycle life (25⁰C): &gt; 6000
Đã bao gồm Cáp kết nối giữa các Module
Thời gian bảo hành: 10 năm</t>
  </si>
  <si>
    <t>gt3</t>
  </si>
  <si>
    <t>Offgrid có bù lưới 3600W 24V BH 2 năm 
Model: GETA-LB-EU 3.6K/24V
PV 1 MPPT 4kW 18A
On-grid/Back-up 3600W
Dòng sạc xả 100/140A
Hỗ trợ Acquy / Lithium 24V
Thân máy bảo hành 2 năm
Wifi, CT đi kèm BH 1 năm</t>
  </si>
  <si>
    <t>Li7.5</t>
  </si>
  <si>
    <t>Biến tần 24V</t>
  </si>
  <si>
    <t>Battery 24v</t>
  </si>
  <si>
    <t>Pin 25.6V 300Ah Luxpower
Dung lượng : 7.5 kWh
Sạc xả : 140A
Bảo hành : 5 năm</t>
  </si>
  <si>
    <t>Inverter hybrid SolaX 60kw 3 pha X3-AELIO-60K (Áp cao)
- 6 MPPT, 12 DC input, Max DC 200%
- Điện áp battery: 180V-820V Lithium
- Công suất ngõ ra dự phòng: 60kW
- Chuyển mạch backup &lt;10ms
- Tích hợp SPD (DC&amp;AC), bộ bảo vệ quá điện áp và bảo vệ dòng điện rò
- Tương thích cùng bộ lưu trữ SolaX
- Tặng kèm wifi
- Bảo hành 7 năm
- Khi cấu hình cùng Battery SolaX, được mở rộng bảo hành lên 10 năm</t>
  </si>
  <si>
    <t>X60</t>
  </si>
  <si>
    <t>X49</t>
  </si>
  <si>
    <t>Inverter hybrid SolaX 49.9kw 3 pha X3-AELIO-49.9K (Áp cao)
- 5 MPPT, 10 DC input, Max DC 200%
- Điện áp battery: 180V-820V Lithium
- Công suất ngõ ra dự phòng: 49.9kW
- Chuyển mạch backup &lt;10ms
- Tích hợp SPD (DC&amp;AC), bộ bảo vệ quá điện áp và bảo vệ dòng điện rò
- Tương thích cùng bộ lưu trữ SolaX
- Tặng kèm wifi
- Bảo hành 7 năm
- Khi cấu hình cùng Battery SolaX, được mở rộng bảo hành lên 10 năm</t>
  </si>
  <si>
    <t>SOLAX ÁP CAO</t>
  </si>
  <si>
    <t>BATTERY SOLAX ÁP CAO</t>
  </si>
  <si>
    <t>BATTERY SOLAX ÁP THẤP</t>
  </si>
  <si>
    <t>BMSX</t>
  </si>
  <si>
    <t>Bộ quản lý bộ pin lưu trữ điện TBMS-HR140
- Quản lý module battery TB-HR140
- Quản lý từ 7 đến 14 module/ tháp tương ứng từ 100.1kWh đến 200.2kWh
- 1 Inverter lắp song song tối đa 6 tháp có cùng dung lượng
- Độ kín khít: IP20
- Chưa gồm kệ Rack
- Thời gian bảo hành: 5 năm
- Khi cấu hình cùng Inverter SolaX, được mở rộng bảo hành lên 10 năm</t>
  </si>
  <si>
    <t>Bộ pin lưu trữ điện cho công nghiệp TB-HR140, công suất 14.3 kwh
- Điện áp: 51.2V
- Dung lượng định mức: 14.3kWh
- Độ xả sâu (DOD): 90%
- Cycle life (250C): &gt; 6000 cycle
- Tối thiểu cần 7 pack và tối đa 14 pack/ hệ tương đương 100.1/200.2kWh
- Chưa gồm kệ Rack
- Tương thích với Inverter hybrid SolaX X3-AELIO
- Độ kín khít: IP20
- Thời gian bảo hành: 5 năm
- Khi cấu hình cùng Inverter SolaX, được mở rộng bảo hành lên 10 năm</t>
  </si>
  <si>
    <t>X14</t>
  </si>
  <si>
    <t>Tấm pin năng lượng mặt trời AXITEC - thương hiệu ĐỨC
Model : AC-625TGB/132TS AXIBIPERFECT GQ TS
Công suất : 625 Wp  ( được tăng thêm 0.1-5 wp / tấm ) 
CO - CQ được cấp từ ĐỨC/ Ấn Độ - theo tiêu chuẩn chất lượng Đức.
Công nghệ: N-Type TOPCON , 132 Cell, 2 mặt kính.
Kích thước : 2382x1134x30mm
Trọng lượng : 33.6 kg
Pin đạt tiêu chuẩn khắt khe  như CE,VDE,  ... Top 10 Châu Âu 
Bảo hành kỹ thuật 1đổi 1 : 30 năm - Lâu nhất thế giới
Bảo hành hiệu suất : 30 năm trên 87.4%</t>
  </si>
  <si>
    <t>bmslux</t>
  </si>
  <si>
    <t>lux5</t>
  </si>
  <si>
    <t>Bộ Quản lý BMS áp Cao PowerStack BCU 
Quản lý từ 2-8 Battery module
Hỗ trợ song song 20 BCU không cần thêm module giao tiếp riêng
Bảo hành 10 năm</t>
  </si>
  <si>
    <t xml:space="preserve"> Battery module áp cao 5kWh
Điện áp: 70.4V
Dung lượng: 72Ah
Dòng sạc/xả cho phép tối đa 50.4A
Sử dụng cell A cao cấp 
DOD 95% - 6000 cycles
Tiêu chuẩn IP65
Cần kết hợp với BCU để hoạt động
Bảo hành 10 năm</t>
  </si>
  <si>
    <t>LUXPOWER HINA ESS</t>
  </si>
  <si>
    <t>PYLONTECH - BYD</t>
  </si>
  <si>
    <t>IN125</t>
  </si>
  <si>
    <r>
      <t xml:space="preserve">Inverter hòa lưới 125kw 3 pha XG125KTR
Bảo hành 7 năm
On-grid inverter with 10 MPPTs,3 phase，230V/400V, 125KW，AC output current  198.5A
- Đã kèm Wifi LSW-5
</t>
    </r>
    <r>
      <rPr>
        <b/>
        <sz val="8"/>
        <color rgb="FFFF0000"/>
        <rFont val="Segoe UI"/>
        <family val="2"/>
      </rPr>
      <t>Bộ ngắt mạch lỗi hồ quang (AFCI) và chức năng an toàn trong hệ thống điện mặt trời</t>
    </r>
    <r>
      <rPr>
        <sz val="8"/>
        <color rgb="FF002060"/>
        <rFont val="Segoe UI"/>
        <family val="2"/>
      </rPr>
      <t xml:space="preserve"> 
</t>
    </r>
    <r>
      <rPr>
        <sz val="8"/>
        <color rgb="FFFF0000"/>
        <rFont val="Segoe UI"/>
        <family val="2"/>
      </rPr>
      <t>-Bảo vệ ngắn mạch AC, bảo vệ quá dòng, bảo vệ quá điện áp, bảo vệ cách ly, bảo vệ chống dòng rò, tự động ngừng khi mất điện lưới, bảo vệ quá nhiệt, phát hiện sự cố chạm đất, v.v.</t>
    </r>
  </si>
  <si>
    <t>Canadian Solar
TOP 5 TOÀN CẦU</t>
  </si>
  <si>
    <t>BMSVL</t>
  </si>
  <si>
    <t>VLH5</t>
  </si>
  <si>
    <t>MG12</t>
  </si>
  <si>
    <t>MG10</t>
  </si>
  <si>
    <t>MG8</t>
  </si>
  <si>
    <t>Inverter Hybrid Sungrow 10 kW 1 Pha
- Model : MG10RL 
- 3 MPPT - 3 String
- Dòng điện PV đầu vào tối đa hàng đầu ngành: 20A mỗi chuỗi
- Màn hình cảm ứng LCD kích thước 4.3 inch
- Cấu trúc xả áp kép cho cả bộ chuyển đổi PCS và pin lưu trữ
- Ma trận bảo vệ an toàn 3D cho pin – bảo vệ toàn diện
Bảo hành  : 10 Năm</t>
  </si>
  <si>
    <t>Inverter Hybrid Sungrow 8 kW 1 Pha
- Model : MG8RL
- 3 MPPT - 3 String
- Dòng điện PV đầu vào tối đa hàng đầu ngành: 20A mỗi chuỗi
- Màn hình cảm ứng LCD kích thước 4.3 inch
- Cấu trúc xả áp kép cho cả bộ chuyển đổi PCS và pin lưu trữ
- Ma trận bảo vệ an toàn 3D cho pin – bảo vệ toàn diện
Bảo hành  : 10 Năm</t>
  </si>
  <si>
    <t>SUNGROW
Top 1 Thế giới</t>
  </si>
  <si>
    <t>BATTERY SUNGROW</t>
  </si>
  <si>
    <t>Inverter Hybrid Sungrow 12 kW 1 Pha
- Model : MG12RL
- 3 MPPT - 3 String
- Dòng điện PV đầu vào tối đa hàng đầu ngành: 20A mỗi chuỗi
- Màn hình cảm ứng LCD kích thước 4.3 inch
- Cấu trúc xả áp kép cho cả bộ chuyển đổi PCS và pin lưu trữ
- Ma trận bảo vệ an toàn 3D cho pin – bảo vệ toàn diện
Bảo hành  : 10 Năm</t>
  </si>
  <si>
    <t>Battery Lithium SUNGROW 16 kWh
Model : MBL160
- Điện áp: 51.2V
- Dung lượng định mức: 16kWh
- Dòng sạc/xả khuyến nghị: 157A
- Độ xả sâu (DOD): 90%
- Cycle life: 8000 Cycles
- Chuẩn chống bụi, nước: IP20
- Tương thích với Inverter hybrid SUNGROW
- Thời gian bảo hành: tiêu chuẩn 7 năm</t>
  </si>
  <si>
    <t>MBL16</t>
  </si>
  <si>
    <t>sts125</t>
  </si>
  <si>
    <t>GoodWe STS Box GW125K-STS-G10
- Chuyển mạch tức thời (&lt;10ms) giữa chế độ hòa lưới và off-grid.
- Hỗ trợ kết nối máy phát điện (diesel generator).
- Bảo vệ IP65 – phù hợp lắp đặt ngoài trời.
- Kết hợp với inverter ET 80/99kW cho chế độ UPS và off-grid.
- Hỗ trợ tải lớn, 125kW khi mất lưới
- Tương thích cùng Battery GW51.2-BAT-G10/ GW56.3-BAT-G10 Goodwe</t>
  </si>
  <si>
    <t>GW80</t>
  </si>
  <si>
    <t>Inverter hybrid Goodwe 80kw 3 pha GW80K-ET-10 (Áp cao)
- 8 MPPT, 16 DC input, Max DC 200%
- Điện áp battery: 300V-800V Lithium HV
- Công suất ngõ ra dự phòng: 80kW
- Công suất ngõ ra dự phòng tối đa: 120kW, 10s
- Hỗ trợ 3 pha không cân bằng
- Tích hợp SPD loại II (DC&amp;AC), bộ bảo vệ quá điện áp và bảo vệ dòng điện rò
- Tặng kèm wifi &amp; đồng hồ bám tải
- Lắp kèm bộ GW125K-STS-G10 để chạy chức năng Offgrid
- Tương thích cùng Battery GW51.2-BAT-G10/ GW56.3-BAT-G10 Goodwe</t>
  </si>
  <si>
    <t>GW99</t>
  </si>
  <si>
    <t>Inverter hybrid Goodwe 99kw 3 pha GW99K-ET-10 (Áp cao)
- 8 MPPT, 16 DC input, Max DC 200%
- Điện áp battery: 300V-800V Lithium HV
- Công suất ngõ ra dự phòng: 99kW
- Công suất ngõ ra dự phòng tối đa: 148kW, 10s
- Hỗ trợ 3 pha không cân bằng
- Tích hợp SPD loại II (DC&amp;AC), bộ bảo vệ quá điện áp và bảo vệ dòng điện rò
- Tặng kèm wifi &amp; đồng hồ bám tải
- Lắp kèm bộ GW125K-STS-G10 để chạy chức năng Offgrid
- Tương thích cùng Battery GW51.2-BAT-G10/ GW56.3-BAT-G10 Goodwe</t>
  </si>
  <si>
    <t>Inverter Hybrid Sungrow 5 kW 1 Pha
- Model : MG5RL
- Dòng điện PV đầu vào tối đa hàng đầu ngành: 20A mỗi chuỗi
- Màn hình cảm ứng LCD kích thước 4.3 inch
- Cấu trúc xả áp kép cho cả bộ chuyển đổi PCS và pin lưu trữ
- Ma trận bảo vệ an toàn 3D cho pin – bảo vệ toàn diện
Bảo hành  : 10 Năm</t>
  </si>
  <si>
    <t>Inverter Hybrid Sungrow 6 kW 1 Pha
- Model : MG6RL
- Dòng điện PV đầu vào tối đa hàng đầu ngành: 20A mỗi chuỗi
- Màn hình cảm ứng LCD kích thước 4.3 inch
- Cấu trúc xả áp kép cho cả bộ chuyển đổi PCS và pin lưu trữ
- Ma trận bảo vệ an toàn 3D cho pin – bảo vệ toàn diện
Bảo hành  : 10 Năm</t>
  </si>
  <si>
    <t>SVE16</t>
  </si>
  <si>
    <t>gw16</t>
  </si>
  <si>
    <t>Battery Lithium Goodwe GW16.1-BAT-LV-G10 (314Ah 51.2V)
- Điện áp: 51.2V
- Dung lượng định mức: 16.1kWh
- Dòng xả khuyến nghị: 140A
- Độ xả sâu (DOD): 95%
- Hiệu suất (@≤0.5C-rate): 96%
- Cycle life (250C): 6000@25 ± 2°C 0.2C 70%EOL
- Thiết kế dạng Wall Mount/ Floor Stand
- Chưa gồm cáp kết nối đi cùng
- Tương thích với Inverter hybrid Goodwe Uniq 1 pha 8/10/12kW và ETLV 3 pha
- Thời gian bảo hành: tiêu chuẩn 10 năm và hiệu suất &gt;70% sau 10 năm
- Lưu ý: Không cấu hình cùng inverter ngoài Goodwe
- Mở rộng bảo hành Inverter Goodwe lên 10 năm khi lắp đặt và đăng ký</t>
  </si>
  <si>
    <t>Inverter hybrid SolaX 8kw 1 pha X1-RENO-8.0-LV (Áp thấp)
- 2 MPPT, 4 DC input, Max DC 200%
- Điện áp battery: 48V Lithium
- Công suất ngõ ra dự phòng: 8kW
- Công suất ngõ ra dự phòng tối đa: 16kW, 10s
- Chuyển mạch backup &lt;6ms
- Tích hợp SPD (DC&amp;AC), bộ bảo vệ quá điện áp và bảo vệ dòng điện rò
- Tương thích cùng bộ lưu trữ SolaX và bộ lưu trữ giao thức chuẩn Pylon
- Tặng kèm wifi &amp; CT bám tải
- Bảo hành 7 năm
- Khi cấu hình cùng Battery SolaX, được mở rộng bảo hành lên 10 năm</t>
  </si>
  <si>
    <t>Tấm pin năng lượng mặt trời LONGI HI-MO 7
Model : LR7-72HVH
Công suất : 620 Wp 
Kích thước : 2382x1134x30mm
Trọng lượng : 32kg
Pin đạt tiêu chuẩn khắt khe  như CE, TUV, SA...
Bảo hành kỹ thuật 1đổi 1 : 25 năm
Bảo hành hiệu suất : 30 năm trên 87.4%</t>
  </si>
  <si>
    <t>SVE 16 LITE
Điện áp: 51.2V / 16S
Dung lượng: 314Ah - 16kWh
Dòng sạc/xả cho phép liên tục 100A
Sử dụng cell A
DOD 80% - 8000 cycles
Thiết kế dạng đặt đứng có bánh xe
Màn hình cảm ứng, giao diện tiếng Việt.
Dải đèn báo SOC 10 mức, thay đổi màu sắc theo trạng thái làm việc.
KT: 840*430*230mm
KL: 124Kg</t>
  </si>
  <si>
    <t>SVE PLUS16.6kWh
Điện áp: 51.2V
Dung lượng: 324Ah -16.6kWh
Dòng sạc/xả cho phép liên tục 100A, Max 200A
Sử dụng cell A EVE Cao cấp
DOD 80% - 8000 cycles
Thiết kế dạng treo tường hoặc đặt đứng có bánh xe
Bảo hành : 5 năm</t>
  </si>
  <si>
    <t>Tấm pin năng lượng mặt trời Canadian Solar , công nghệ HJT cao cấp.
Model : CS6.2-66HB-630
Công suất : 630 Wp
Công nghệ: N-Type HJT  630W , hiệu suất cao, 2 mặt kính .
Kích thước : 2382x1134x30mm
Trọng lượng : 32.8 kg
Pin đạt tiêu chuẩn khắt khe  như VDE ,CE,TUV, VEEE , SA....
Hàng sản xuất tại Trung Quốc
TOP 5 Nhà máy lớn Toàn Cầu
Bảo hành kỹ thuật : 15 năm
Bảo hành hiệu suất : 30 năm trên 87.4%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</si>
</sst>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 #,##0_-;_-* &quot;-&quot;_-;_-@_-"/>
    <numFmt numFmtId="165" formatCode="_(* #,##0_);_(* \(#,##0\);_(* &quot;-&quot;??_);_(@_)"/>
    <numFmt numFmtId="167" formatCode="[$AUD]\ #,##0;[Red][$AUD]\ \-#,##0"/>
  </numFmts>
  <fonts count="49">
    <font>
      <sz val="10"/>
      <color rgb="FF000000"/>
      <name val="Times New Roman"/>
      <charset val="204"/>
    </font>
    <font>
      <sz val="11"/>
      <color theme="1"/>
      <name val="Calibri"/>
      <family val="2"/>
      <scheme val="minor"/>
    </font>
    <font>
      <sz val="10"/>
      <color rgb="FF000000"/>
      <name val="Times New Roman"/>
      <family val="1"/>
    </font>
    <font>
      <b/>
      <sz val="10"/>
      <color rgb="FF000000"/>
      <name val="Segoe UI"/>
      <family val="2"/>
    </font>
    <font>
      <sz val="10"/>
      <color rgb="FF000000"/>
      <name val="Segoe UI"/>
      <family val="2"/>
    </font>
    <font>
      <sz val="11"/>
      <color theme="1"/>
      <name val="Segoe UI"/>
      <family val="2"/>
    </font>
    <font>
      <b/>
      <sz val="11"/>
      <color theme="1"/>
      <name val="Segoe UI"/>
      <family val="2"/>
    </font>
    <font>
      <b/>
      <sz val="10"/>
      <color theme="1"/>
      <name val="Segoe UI"/>
      <family val="2"/>
    </font>
    <font>
      <sz val="11"/>
      <color theme="1"/>
      <name val="Calibri"/>
      <family val="3"/>
      <charset val="134"/>
      <scheme val="minor"/>
    </font>
    <font>
      <sz val="8"/>
      <name val="Times New Roman"/>
      <family val="1"/>
    </font>
    <font>
      <sz val="11"/>
      <color rgb="FFFF0000"/>
      <name val="Segoe UI"/>
      <family val="2"/>
    </font>
    <font>
      <sz val="10"/>
      <color theme="1"/>
      <name val="Segoe UI"/>
      <family val="2"/>
    </font>
    <font>
      <b/>
      <sz val="26"/>
      <color theme="1"/>
      <name val="Segoe UI"/>
      <family val="2"/>
      <charset val="163"/>
    </font>
    <font>
      <b/>
      <sz val="36"/>
      <color theme="1"/>
      <name val="Segoe UI"/>
      <family val="2"/>
      <charset val="163"/>
    </font>
    <font>
      <b/>
      <sz val="8"/>
      <color theme="1"/>
      <name val="Segoe UI"/>
      <family val="2"/>
    </font>
    <font>
      <sz val="8"/>
      <color rgb="FF000000"/>
      <name val="Segoe UI"/>
      <family val="2"/>
      <charset val="163"/>
    </font>
    <font>
      <b/>
      <sz val="8"/>
      <color theme="1"/>
      <name val="Segoe UI"/>
      <family val="2"/>
      <charset val="163"/>
    </font>
    <font>
      <b/>
      <sz val="8"/>
      <color rgb="FFFFFFFF"/>
      <name val="Segoe UI"/>
      <family val="2"/>
      <charset val="163"/>
    </font>
    <font>
      <b/>
      <sz val="8"/>
      <color theme="0"/>
      <name val="Segoe UI"/>
      <family val="2"/>
      <charset val="163"/>
    </font>
    <font>
      <sz val="8"/>
      <color theme="1"/>
      <name val="Segoe UI"/>
      <family val="2"/>
      <charset val="163"/>
    </font>
    <font>
      <b/>
      <sz val="8"/>
      <name val="Segoe UI"/>
      <family val="2"/>
      <charset val="163"/>
    </font>
    <font>
      <sz val="8"/>
      <color rgb="FF002060"/>
      <name val="Segoe UI"/>
      <family val="2"/>
      <charset val="163"/>
    </font>
    <font>
      <b/>
      <sz val="8"/>
      <color rgb="FF002060"/>
      <name val="Segoe UI"/>
      <family val="2"/>
    </font>
    <font>
      <sz val="8"/>
      <color rgb="FF002060"/>
      <name val="Segoe UI"/>
      <family val="2"/>
    </font>
    <font>
      <sz val="8"/>
      <color rgb="FFFF0000"/>
      <name val="Segoe UI"/>
      <family val="2"/>
    </font>
    <font>
      <b/>
      <sz val="8"/>
      <color rgb="FFFF0000"/>
      <name val="Segoe UI"/>
      <family val="2"/>
    </font>
    <font>
      <b/>
      <sz val="8"/>
      <color rgb="FF002060"/>
      <name val="Segoe UI"/>
      <family val="2"/>
      <charset val="163"/>
    </font>
    <font>
      <sz val="8"/>
      <name val="Segoe UI"/>
      <family val="2"/>
      <charset val="163"/>
    </font>
    <font>
      <b/>
      <sz val="8"/>
      <color rgb="FF000000"/>
      <name val="Segoe UI"/>
      <family val="2"/>
      <charset val="163"/>
    </font>
    <font>
      <sz val="8"/>
      <color rgb="FF000000"/>
      <name val="Times New Roman"/>
      <family val="1"/>
      <charset val="163"/>
    </font>
    <font>
      <sz val="10"/>
      <color rgb="FF000000"/>
      <name val="Segoe UI"/>
      <family val="2"/>
      <charset val="163"/>
    </font>
    <font>
      <sz val="10"/>
      <color theme="1"/>
      <name val="Segoe UI"/>
      <family val="2"/>
      <charset val="163"/>
    </font>
    <font>
      <sz val="10"/>
      <color rgb="FF000000"/>
      <name val="Times New Roman"/>
      <family val="1"/>
      <charset val="163"/>
    </font>
    <font>
      <b/>
      <sz val="10"/>
      <color theme="1"/>
      <name val="Segoe UI"/>
      <family val="2"/>
      <charset val="163"/>
    </font>
    <font>
      <sz val="10"/>
      <color rgb="FF000000"/>
      <name val="Times New Roman"/>
      <family val="1"/>
    </font>
    <font>
      <b/>
      <sz val="26"/>
      <color rgb="FF000000"/>
      <name val="Segoe UI"/>
      <family val="2"/>
    </font>
    <font>
      <b/>
      <sz val="22"/>
      <color theme="1"/>
      <name val="Segoe UI"/>
      <family val="2"/>
      <charset val="163"/>
    </font>
    <font>
      <b/>
      <sz val="22"/>
      <color theme="1"/>
      <name val="Segoe UI"/>
      <family val="2"/>
    </font>
    <font>
      <b/>
      <sz val="18"/>
      <color theme="1"/>
      <name val="Segoe UI"/>
      <family val="2"/>
      <charset val="163"/>
    </font>
    <font>
      <b/>
      <sz val="36"/>
      <color rgb="FF000000"/>
      <name val="Segoe UI"/>
      <family val="2"/>
    </font>
    <font>
      <b/>
      <sz val="24"/>
      <color theme="1"/>
      <name val="Segoe UI"/>
      <family val="2"/>
    </font>
    <font>
      <b/>
      <sz val="24"/>
      <color rgb="FF000000"/>
      <name val="Segoe UI"/>
      <family val="2"/>
    </font>
    <font>
      <b/>
      <sz val="20"/>
      <color theme="1"/>
      <name val="Segoe UI"/>
      <family val="2"/>
    </font>
    <font>
      <b/>
      <sz val="16"/>
      <color theme="1"/>
      <name val="Segoe UI"/>
      <family val="2"/>
    </font>
    <font>
      <b/>
      <sz val="26"/>
      <color theme="1"/>
      <name val="Segoe UI"/>
      <family val="2"/>
    </font>
    <font>
      <b/>
      <sz val="16"/>
      <color theme="1"/>
      <name val="Segoe UI"/>
      <family val="2"/>
      <charset val="163"/>
    </font>
    <font>
      <sz val="12"/>
      <color theme="1"/>
      <name val="Segoe UI"/>
      <family val="2"/>
      <charset val="163"/>
    </font>
    <font>
      <sz val="11"/>
      <color theme="1"/>
      <name val="Segoe UI"/>
      <family val="2"/>
      <charset val="163"/>
    </font>
    <font>
      <b/>
      <sz val="14"/>
      <color theme="1"/>
      <name val="Segoe UI"/>
      <family val="2"/>
      <charset val="163"/>
    </font>
  </fonts>
  <fills count="12">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rgb="FF00990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7"/>
        <bgColor indexed="64"/>
      </patternFill>
    </fill>
    <fill>
      <patternFill patternType="solid">
        <fgColor theme="5" tint="0.59999389629810485"/>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s>
  <cellStyleXfs count="7">
    <xf numFmtId="0" fontId="0" fillId="0" borderId="0"/>
    <xf numFmtId="43" fontId="2" fillId="0" borderId="0" applyFont="0" applyFill="0" applyBorder="0" applyAlignment="0" applyProtection="0"/>
    <xf numFmtId="43" fontId="1" fillId="0" borderId="0" applyFont="0" applyFill="0" applyBorder="0" applyAlignment="0" applyProtection="0"/>
    <xf numFmtId="0" fontId="1" fillId="0" borderId="0"/>
    <xf numFmtId="167" fontId="8" fillId="0" borderId="0"/>
    <xf numFmtId="0" fontId="8" fillId="0" borderId="0">
      <alignment vertical="center"/>
    </xf>
    <xf numFmtId="164" fontId="34" fillId="0" borderId="0" applyFont="0" applyFill="0" applyBorder="0" applyAlignment="0" applyProtection="0"/>
  </cellStyleXfs>
  <cellXfs count="229">
    <xf numFmtId="0" fontId="0" fillId="0" borderId="0" xfId="0"/>
    <xf numFmtId="0" fontId="4" fillId="0" borderId="0" xfId="0" applyFont="1" applyAlignment="1">
      <alignment horizontal="right" vertical="center"/>
    </xf>
    <xf numFmtId="0" fontId="5" fillId="0" borderId="1" xfId="0" applyFont="1" applyBorder="1" applyAlignment="1">
      <alignment horizontal="left" vertical="center" wrapText="1"/>
    </xf>
    <xf numFmtId="0" fontId="4" fillId="0" borderId="0" xfId="0" applyFont="1"/>
    <xf numFmtId="0" fontId="4" fillId="2" borderId="0" xfId="0" applyFont="1" applyFill="1"/>
    <xf numFmtId="0" fontId="4" fillId="0" borderId="0" xfId="0" applyFont="1" applyAlignment="1">
      <alignment horizontal="center" vertical="center"/>
    </xf>
    <xf numFmtId="0" fontId="4" fillId="0" borderId="0" xfId="0" applyFont="1" applyAlignment="1">
      <alignment horizontal="center"/>
    </xf>
    <xf numFmtId="0" fontId="4" fillId="0" borderId="0" xfId="0" applyFont="1" applyAlignment="1">
      <alignment vertical="center"/>
    </xf>
    <xf numFmtId="0" fontId="5" fillId="0" borderId="1" xfId="0" applyFont="1" applyBorder="1" applyAlignment="1">
      <alignment horizontal="center" vertical="center" wrapText="1"/>
    </xf>
    <xf numFmtId="165" fontId="6" fillId="0" borderId="1" xfId="1" applyNumberFormat="1" applyFont="1" applyBorder="1" applyAlignment="1">
      <alignment horizontal="right" vertical="center" wrapText="1"/>
    </xf>
    <xf numFmtId="0" fontId="4" fillId="0" borderId="0" xfId="0" applyFont="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wrapText="1"/>
    </xf>
    <xf numFmtId="0" fontId="4" fillId="6" borderId="0" xfId="0" applyFont="1" applyFill="1"/>
    <xf numFmtId="0" fontId="4" fillId="6" borderId="0" xfId="0" applyFont="1" applyFill="1" applyAlignment="1">
      <alignment horizontal="center" vertical="center"/>
    </xf>
    <xf numFmtId="0" fontId="4" fillId="0" borderId="1" xfId="0" applyFont="1" applyBorder="1" applyAlignment="1">
      <alignment vertical="center"/>
    </xf>
    <xf numFmtId="0" fontId="5" fillId="0" borderId="1" xfId="0" applyFont="1" applyBorder="1" applyAlignment="1">
      <alignment vertical="center" wrapText="1"/>
    </xf>
    <xf numFmtId="0" fontId="5" fillId="0" borderId="6" xfId="0" applyFont="1" applyBorder="1" applyAlignment="1">
      <alignment horizontal="left" vertical="center" wrapText="1"/>
    </xf>
    <xf numFmtId="0" fontId="4" fillId="0" borderId="1" xfId="0" applyFont="1" applyBorder="1" applyAlignment="1">
      <alignment horizontal="right" vertical="center"/>
    </xf>
    <xf numFmtId="0" fontId="4" fillId="0" borderId="0" xfId="0" applyFont="1" applyAlignment="1">
      <alignment horizontal="center" vertical="center" wrapText="1"/>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4" fillId="2" borderId="1" xfId="0" applyFont="1" applyFill="1" applyBorder="1" applyAlignment="1">
      <alignment vertical="center"/>
    </xf>
    <xf numFmtId="0" fontId="4" fillId="2" borderId="1" xfId="0" applyFont="1" applyFill="1" applyBorder="1" applyAlignment="1">
      <alignment wrapText="1"/>
    </xf>
    <xf numFmtId="0" fontId="7" fillId="2" borderId="1" xfId="3" applyFont="1" applyFill="1" applyBorder="1" applyAlignment="1">
      <alignment horizontal="left" vertical="center" wrapText="1"/>
    </xf>
    <xf numFmtId="0" fontId="3" fillId="2" borderId="1" xfId="0" applyFont="1" applyFill="1" applyBorder="1" applyAlignment="1">
      <alignment vertical="center" wrapText="1"/>
    </xf>
    <xf numFmtId="0" fontId="3" fillId="9" borderId="1" xfId="0" applyFont="1" applyFill="1" applyBorder="1" applyAlignment="1">
      <alignment horizontal="center" vertical="center" wrapText="1"/>
    </xf>
    <xf numFmtId="0" fontId="4" fillId="0" borderId="5" xfId="0" applyFont="1" applyBorder="1" applyAlignment="1">
      <alignment vertical="center"/>
    </xf>
    <xf numFmtId="165" fontId="6" fillId="0" borderId="5" xfId="1" applyNumberFormat="1" applyFont="1" applyBorder="1" applyAlignment="1">
      <alignment horizontal="right" vertical="center" wrapText="1"/>
    </xf>
    <xf numFmtId="0" fontId="4" fillId="0" borderId="5" xfId="0" applyFont="1" applyBorder="1" applyAlignment="1">
      <alignment vertical="center" wrapText="1"/>
    </xf>
    <xf numFmtId="0" fontId="4" fillId="0" borderId="5" xfId="0" applyFont="1" applyBorder="1" applyAlignment="1">
      <alignment horizontal="right" vertical="center"/>
    </xf>
    <xf numFmtId="0" fontId="2" fillId="0" borderId="5" xfId="0" applyFont="1" applyBorder="1" applyAlignment="1">
      <alignment wrapText="1"/>
    </xf>
    <xf numFmtId="0" fontId="4" fillId="0" borderId="1" xfId="0" applyFont="1" applyBorder="1" applyAlignment="1">
      <alignment vertical="center" wrapText="1"/>
    </xf>
    <xf numFmtId="0" fontId="15" fillId="0" borderId="0" xfId="0" applyFont="1" applyAlignment="1">
      <alignment horizontal="left" vertical="center" wrapText="1"/>
    </xf>
    <xf numFmtId="0" fontId="19" fillId="0" borderId="1" xfId="0" applyFont="1" applyBorder="1" applyAlignment="1">
      <alignment horizontal="left" vertical="center" wrapText="1"/>
    </xf>
    <xf numFmtId="0" fontId="19" fillId="0" borderId="1" xfId="0" applyFont="1" applyBorder="1" applyAlignment="1">
      <alignment horizontal="right" vertical="center" wrapText="1"/>
    </xf>
    <xf numFmtId="165" fontId="16" fillId="0" borderId="1" xfId="1" applyNumberFormat="1" applyFont="1" applyBorder="1" applyAlignment="1">
      <alignment horizontal="right" vertical="center" wrapText="1"/>
    </xf>
    <xf numFmtId="0" fontId="19" fillId="0" borderId="1" xfId="0" quotePrefix="1" applyFont="1" applyBorder="1" applyAlignment="1">
      <alignment horizontal="left" vertical="center" wrapText="1"/>
    </xf>
    <xf numFmtId="0" fontId="16" fillId="5" borderId="5" xfId="0" applyFont="1" applyFill="1" applyBorder="1" applyAlignment="1">
      <alignment vertical="center" wrapText="1"/>
    </xf>
    <xf numFmtId="0" fontId="15" fillId="0" borderId="1" xfId="0" applyFont="1" applyBorder="1" applyAlignment="1">
      <alignment horizontal="left" vertical="center" wrapText="1"/>
    </xf>
    <xf numFmtId="0" fontId="17" fillId="4" borderId="4" xfId="0" applyFont="1" applyFill="1" applyBorder="1" applyAlignment="1">
      <alignment horizontal="left" vertical="center" wrapText="1"/>
    </xf>
    <xf numFmtId="0" fontId="17" fillId="4" borderId="4" xfId="0" applyFont="1" applyFill="1" applyBorder="1" applyAlignment="1">
      <alignment horizontal="right" vertical="center" wrapText="1"/>
    </xf>
    <xf numFmtId="0" fontId="18" fillId="4" borderId="4" xfId="0" applyFont="1" applyFill="1" applyBorder="1" applyAlignment="1">
      <alignment horizontal="right" vertical="center" wrapText="1"/>
    </xf>
    <xf numFmtId="0" fontId="19" fillId="0" borderId="6" xfId="0" applyFont="1" applyBorder="1" applyAlignment="1">
      <alignment horizontal="left" vertical="center" wrapText="1"/>
    </xf>
    <xf numFmtId="0" fontId="20" fillId="2" borderId="1" xfId="0" applyFont="1" applyFill="1" applyBorder="1" applyAlignment="1">
      <alignment horizontal="left" vertical="center" wrapText="1"/>
    </xf>
    <xf numFmtId="0" fontId="19" fillId="0" borderId="1" xfId="0" applyFont="1" applyBorder="1" applyAlignment="1">
      <alignment horizontal="center" vertical="center" wrapText="1"/>
    </xf>
    <xf numFmtId="0" fontId="16" fillId="0" borderId="1" xfId="0" applyFont="1" applyBorder="1" applyAlignment="1">
      <alignment vertical="center" wrapText="1"/>
    </xf>
    <xf numFmtId="0" fontId="16" fillId="7" borderId="5" xfId="0" applyFont="1" applyFill="1" applyBorder="1" applyAlignment="1">
      <alignment vertical="center" wrapText="1"/>
    </xf>
    <xf numFmtId="0" fontId="19" fillId="7" borderId="1" xfId="0" applyFont="1" applyFill="1" applyBorder="1" applyAlignment="1">
      <alignment horizontal="right" vertical="center" wrapText="1"/>
    </xf>
    <xf numFmtId="0" fontId="15" fillId="0" borderId="0" xfId="0" applyFont="1" applyAlignment="1">
      <alignment horizontal="right" vertical="center"/>
    </xf>
    <xf numFmtId="0" fontId="19" fillId="2" borderId="1" xfId="0" applyFont="1" applyFill="1" applyBorder="1" applyAlignment="1">
      <alignment horizontal="right" vertical="center" wrapText="1"/>
    </xf>
    <xf numFmtId="165" fontId="19" fillId="2" borderId="1" xfId="1" applyNumberFormat="1" applyFont="1" applyFill="1" applyBorder="1" applyAlignment="1">
      <alignment horizontal="center" vertical="center" wrapText="1"/>
    </xf>
    <xf numFmtId="0" fontId="21" fillId="0" borderId="6" xfId="0" applyFont="1" applyBorder="1" applyAlignment="1">
      <alignment vertical="center" wrapText="1"/>
    </xf>
    <xf numFmtId="0" fontId="21" fillId="0" borderId="1" xfId="0" applyFont="1" applyBorder="1" applyAlignment="1">
      <alignment horizontal="center" vertical="center" wrapText="1"/>
    </xf>
    <xf numFmtId="0" fontId="21" fillId="0" borderId="2" xfId="0" applyFont="1" applyBorder="1" applyAlignment="1">
      <alignment horizontal="center" vertical="center" wrapText="1"/>
    </xf>
    <xf numFmtId="167" fontId="21" fillId="2" borderId="8" xfId="4" applyFont="1" applyFill="1" applyBorder="1" applyAlignment="1">
      <alignment vertical="center" wrapText="1"/>
    </xf>
    <xf numFmtId="167" fontId="21" fillId="2" borderId="6" xfId="4" applyFont="1" applyFill="1" applyBorder="1" applyAlignment="1">
      <alignment vertical="center" wrapText="1"/>
    </xf>
    <xf numFmtId="0" fontId="15" fillId="0" borderId="0" xfId="0" applyFont="1" applyAlignment="1">
      <alignment vertical="center"/>
    </xf>
    <xf numFmtId="0" fontId="15" fillId="0" borderId="1" xfId="0" applyFont="1" applyBorder="1" applyAlignment="1">
      <alignment horizontal="center" vertical="center" wrapText="1"/>
    </xf>
    <xf numFmtId="0" fontId="18" fillId="0" borderId="1" xfId="0" applyFont="1" applyBorder="1" applyAlignment="1">
      <alignment horizontal="right" vertical="center" wrapText="1"/>
    </xf>
    <xf numFmtId="167" fontId="21" fillId="0" borderId="6" xfId="4" applyFont="1" applyBorder="1" applyAlignment="1">
      <alignment vertical="center" wrapText="1"/>
    </xf>
    <xf numFmtId="0" fontId="26" fillId="0" borderId="6" xfId="0" applyFont="1" applyBorder="1" applyAlignment="1">
      <alignment vertical="center" wrapText="1"/>
    </xf>
    <xf numFmtId="0" fontId="21" fillId="0" borderId="6" xfId="5" quotePrefix="1" applyFont="1" applyBorder="1" applyAlignment="1">
      <alignment vertical="center" wrapText="1"/>
    </xf>
    <xf numFmtId="0" fontId="21" fillId="0" borderId="1" xfId="0" applyFont="1" applyBorder="1" applyAlignment="1">
      <alignment horizontal="left" vertical="center" wrapText="1"/>
    </xf>
    <xf numFmtId="0" fontId="21" fillId="0" borderId="1" xfId="5" quotePrefix="1" applyFont="1" applyBorder="1" applyAlignment="1">
      <alignment vertical="center" wrapText="1"/>
    </xf>
    <xf numFmtId="0" fontId="21" fillId="0" borderId="1" xfId="0" applyFont="1" applyBorder="1" applyAlignment="1">
      <alignment vertical="center" wrapText="1"/>
    </xf>
    <xf numFmtId="0" fontId="15" fillId="0" borderId="0" xfId="0" applyFont="1" applyAlignment="1">
      <alignment horizontal="center" vertical="center" wrapText="1"/>
    </xf>
    <xf numFmtId="0" fontId="15" fillId="0" borderId="1" xfId="0" applyFont="1" applyBorder="1" applyAlignment="1">
      <alignment vertical="center"/>
    </xf>
    <xf numFmtId="0" fontId="15" fillId="0" borderId="1" xfId="0" applyFont="1" applyBorder="1" applyAlignment="1">
      <alignment wrapText="1"/>
    </xf>
    <xf numFmtId="0" fontId="15" fillId="0" borderId="1" xfId="0" applyFont="1" applyBorder="1" applyAlignment="1">
      <alignment vertical="center" wrapText="1"/>
    </xf>
    <xf numFmtId="0" fontId="15" fillId="0" borderId="1" xfId="0" applyFont="1" applyBorder="1" applyAlignment="1">
      <alignment horizontal="right" vertical="center"/>
    </xf>
    <xf numFmtId="0" fontId="29" fillId="0" borderId="1" xfId="0" applyFont="1" applyBorder="1" applyAlignment="1">
      <alignment wrapText="1"/>
    </xf>
    <xf numFmtId="0" fontId="23" fillId="0" borderId="6" xfId="0" applyFont="1" applyBorder="1" applyAlignment="1">
      <alignment vertical="center" wrapText="1"/>
    </xf>
    <xf numFmtId="0" fontId="6" fillId="0" borderId="1" xfId="0" applyFont="1" applyBorder="1" applyAlignment="1">
      <alignment horizontal="center" vertical="center"/>
    </xf>
    <xf numFmtId="0" fontId="6" fillId="0" borderId="1" xfId="0" applyFont="1" applyBorder="1" applyAlignment="1">
      <alignment horizontal="right" vertical="center"/>
    </xf>
    <xf numFmtId="0" fontId="30" fillId="0" borderId="0" xfId="0" applyFont="1" applyAlignment="1">
      <alignment vertical="center"/>
    </xf>
    <xf numFmtId="0" fontId="30" fillId="0" borderId="1" xfId="0" applyFont="1" applyBorder="1" applyAlignment="1">
      <alignment vertical="center"/>
    </xf>
    <xf numFmtId="0" fontId="32" fillId="0" borderId="1" xfId="0" applyFont="1" applyBorder="1" applyAlignment="1">
      <alignment wrapText="1"/>
    </xf>
    <xf numFmtId="0" fontId="30" fillId="0" borderId="1" xfId="0" applyFont="1" applyBorder="1" applyAlignment="1">
      <alignment vertical="center" wrapText="1"/>
    </xf>
    <xf numFmtId="0" fontId="30" fillId="0" borderId="1" xfId="0" applyFont="1" applyBorder="1" applyAlignment="1">
      <alignment horizontal="right" vertical="center"/>
    </xf>
    <xf numFmtId="165" fontId="33" fillId="0" borderId="1" xfId="1" applyNumberFormat="1" applyFont="1" applyBorder="1" applyAlignment="1">
      <alignment horizontal="right" vertical="center" wrapText="1"/>
    </xf>
    <xf numFmtId="0" fontId="30" fillId="0" borderId="0" xfId="0" applyFont="1"/>
    <xf numFmtId="0" fontId="6" fillId="0" borderId="0" xfId="0" applyFont="1" applyAlignment="1">
      <alignment horizontal="right" vertical="center"/>
    </xf>
    <xf numFmtId="0" fontId="3" fillId="8" borderId="7" xfId="0" applyFont="1" applyFill="1" applyBorder="1" applyAlignment="1">
      <alignment horizontal="center" vertical="center"/>
    </xf>
    <xf numFmtId="167" fontId="23" fillId="2" borderId="8" xfId="4" applyFont="1" applyFill="1" applyBorder="1" applyAlignment="1">
      <alignment vertical="center" wrapText="1"/>
    </xf>
    <xf numFmtId="0" fontId="20" fillId="2" borderId="5" xfId="0" applyFont="1" applyFill="1" applyBorder="1" applyAlignment="1">
      <alignment horizontal="left" vertical="center" wrapText="1"/>
    </xf>
    <xf numFmtId="0" fontId="15" fillId="7" borderId="1" xfId="0" applyFont="1" applyFill="1" applyBorder="1" applyAlignment="1">
      <alignment horizontal="left" vertical="center" wrapText="1"/>
    </xf>
    <xf numFmtId="0" fontId="4" fillId="7" borderId="0" xfId="0" applyFont="1" applyFill="1"/>
    <xf numFmtId="0" fontId="19" fillId="9" borderId="6" xfId="0" applyFont="1" applyFill="1" applyBorder="1" applyAlignment="1">
      <alignment horizontal="left" vertical="center" wrapText="1"/>
    </xf>
    <xf numFmtId="0" fontId="15" fillId="2" borderId="1" xfId="0" applyFont="1" applyFill="1" applyBorder="1" applyAlignment="1">
      <alignment horizontal="left" vertical="center" wrapText="1"/>
    </xf>
    <xf numFmtId="0" fontId="19" fillId="2" borderId="6" xfId="0" applyFont="1" applyFill="1" applyBorder="1" applyAlignment="1">
      <alignment horizontal="left" vertical="center" wrapText="1"/>
    </xf>
    <xf numFmtId="0" fontId="16" fillId="2" borderId="1" xfId="0" applyFont="1" applyFill="1" applyBorder="1" applyAlignment="1">
      <alignment vertical="center" wrapText="1"/>
    </xf>
    <xf numFmtId="0" fontId="19" fillId="2" borderId="1" xfId="0" applyFont="1" applyFill="1" applyBorder="1" applyAlignment="1">
      <alignment horizontal="center" vertical="center" wrapText="1"/>
    </xf>
    <xf numFmtId="165" fontId="16" fillId="2" borderId="1" xfId="1" applyNumberFormat="1" applyFont="1" applyFill="1" applyBorder="1" applyAlignment="1">
      <alignment horizontal="right" vertical="center" wrapText="1"/>
    </xf>
    <xf numFmtId="164" fontId="19" fillId="0" borderId="1" xfId="6" applyFont="1" applyBorder="1" applyAlignment="1">
      <alignment horizontal="center" vertical="center" wrapText="1"/>
    </xf>
    <xf numFmtId="164" fontId="16" fillId="5" borderId="5" xfId="6" applyFont="1" applyFill="1" applyBorder="1" applyAlignment="1">
      <alignment horizontal="center" vertical="center" wrapText="1"/>
    </xf>
    <xf numFmtId="164" fontId="18" fillId="4" borderId="4" xfId="6" applyFont="1" applyFill="1" applyBorder="1" applyAlignment="1">
      <alignment horizontal="center" vertical="center" wrapText="1"/>
    </xf>
    <xf numFmtId="164" fontId="19" fillId="2" borderId="1" xfId="6" applyFont="1" applyFill="1" applyBorder="1" applyAlignment="1">
      <alignment horizontal="center" vertical="center" wrapText="1"/>
    </xf>
    <xf numFmtId="164" fontId="19" fillId="2" borderId="1" xfId="6" applyFont="1" applyFill="1" applyBorder="1" applyAlignment="1">
      <alignment horizontal="right" vertical="center" wrapText="1"/>
    </xf>
    <xf numFmtId="164" fontId="19" fillId="2" borderId="0" xfId="6" applyFont="1" applyFill="1" applyBorder="1" applyAlignment="1">
      <alignment horizontal="center" vertical="center" wrapText="1"/>
    </xf>
    <xf numFmtId="164" fontId="4" fillId="0" borderId="0" xfId="6" applyFont="1" applyAlignment="1">
      <alignment horizontal="center" vertical="center"/>
    </xf>
    <xf numFmtId="164" fontId="19" fillId="0" borderId="1" xfId="6" applyFont="1" applyFill="1" applyBorder="1" applyAlignment="1">
      <alignment horizontal="center" vertical="center" wrapText="1"/>
    </xf>
    <xf numFmtId="164" fontId="15" fillId="0" borderId="0" xfId="6" applyFont="1" applyAlignment="1">
      <alignment horizontal="center" vertical="center"/>
    </xf>
    <xf numFmtId="164" fontId="21" fillId="0" borderId="2" xfId="6" applyFont="1" applyBorder="1" applyAlignment="1">
      <alignment horizontal="center" vertical="center" wrapText="1"/>
    </xf>
    <xf numFmtId="164" fontId="15" fillId="0" borderId="1" xfId="6" applyFont="1" applyBorder="1" applyAlignment="1">
      <alignment horizontal="center" vertical="center" wrapText="1"/>
    </xf>
    <xf numFmtId="164" fontId="27" fillId="0" borderId="1" xfId="6" applyFont="1" applyBorder="1" applyAlignment="1">
      <alignment horizontal="center" vertical="center"/>
    </xf>
    <xf numFmtId="164" fontId="15" fillId="0" borderId="1" xfId="6" applyFont="1" applyBorder="1" applyAlignment="1">
      <alignment horizontal="center" vertical="center"/>
    </xf>
    <xf numFmtId="164" fontId="4" fillId="0" borderId="1" xfId="6" applyFont="1" applyBorder="1" applyAlignment="1">
      <alignment horizontal="center" vertical="center"/>
    </xf>
    <xf numFmtId="164" fontId="30" fillId="0" borderId="1" xfId="6" applyFont="1" applyBorder="1" applyAlignment="1">
      <alignment horizontal="center" vertical="center"/>
    </xf>
    <xf numFmtId="164" fontId="4" fillId="0" borderId="5" xfId="6" applyFont="1" applyBorder="1" applyAlignment="1">
      <alignment horizontal="center" vertical="center"/>
    </xf>
    <xf numFmtId="164" fontId="5" fillId="0" borderId="1" xfId="6" applyFont="1" applyBorder="1" applyAlignment="1">
      <alignment horizontal="center" vertical="center" wrapText="1"/>
    </xf>
    <xf numFmtId="0" fontId="28" fillId="0" borderId="6" xfId="0" applyFont="1" applyBorder="1" applyAlignment="1">
      <alignment vertical="center" wrapText="1"/>
    </xf>
    <xf numFmtId="0" fontId="16" fillId="9" borderId="5" xfId="0" applyFont="1" applyFill="1" applyBorder="1" applyAlignment="1">
      <alignment vertical="center" wrapText="1"/>
    </xf>
    <xf numFmtId="0" fontId="12" fillId="7" borderId="5" xfId="0" applyFont="1" applyFill="1" applyBorder="1" applyAlignment="1">
      <alignment vertical="center" wrapText="1"/>
    </xf>
    <xf numFmtId="0" fontId="13" fillId="7" borderId="5" xfId="0" applyFont="1" applyFill="1" applyBorder="1" applyAlignment="1">
      <alignment vertical="center" wrapText="1"/>
    </xf>
    <xf numFmtId="0" fontId="16" fillId="7" borderId="2" xfId="0" applyFont="1" applyFill="1" applyBorder="1" applyAlignment="1">
      <alignment vertical="center" wrapText="1"/>
    </xf>
    <xf numFmtId="0" fontId="16" fillId="0" borderId="6" xfId="0" applyFont="1" applyBorder="1" applyAlignment="1">
      <alignment vertical="center" wrapText="1"/>
    </xf>
    <xf numFmtId="0" fontId="19" fillId="0" borderId="5" xfId="0" applyFont="1" applyBorder="1" applyAlignment="1">
      <alignment horizontal="right" vertical="center" wrapText="1"/>
    </xf>
    <xf numFmtId="164" fontId="19" fillId="0" borderId="2" xfId="6" applyFont="1" applyBorder="1" applyAlignment="1">
      <alignment horizontal="center" vertical="center" wrapText="1"/>
    </xf>
    <xf numFmtId="0" fontId="3" fillId="9" borderId="3" xfId="0" applyFont="1" applyFill="1" applyBorder="1" applyAlignment="1">
      <alignment horizontal="center" vertical="center" wrapText="1"/>
    </xf>
    <xf numFmtId="0" fontId="19" fillId="8" borderId="6" xfId="0" applyFont="1" applyFill="1" applyBorder="1" applyAlignment="1">
      <alignment horizontal="left" vertical="center" wrapText="1"/>
    </xf>
    <xf numFmtId="0" fontId="3" fillId="8" borderId="1" xfId="0" applyFont="1" applyFill="1" applyBorder="1" applyAlignment="1">
      <alignment horizontal="center" vertical="center"/>
    </xf>
    <xf numFmtId="164" fontId="4" fillId="7" borderId="1" xfId="6" applyFont="1" applyFill="1" applyBorder="1" applyAlignment="1">
      <alignment horizontal="center" vertical="center"/>
    </xf>
    <xf numFmtId="0" fontId="40" fillId="9" borderId="5" xfId="0" applyFont="1" applyFill="1" applyBorder="1" applyAlignment="1">
      <alignment horizontal="center" vertical="center" wrapText="1"/>
    </xf>
    <xf numFmtId="0" fontId="40" fillId="9" borderId="5" xfId="0" applyFont="1" applyFill="1" applyBorder="1" applyAlignment="1">
      <alignment horizontal="left" vertical="center" wrapText="1"/>
    </xf>
    <xf numFmtId="164" fontId="41" fillId="9" borderId="5" xfId="6" applyFont="1" applyFill="1" applyBorder="1" applyAlignment="1">
      <alignment horizontal="center" vertical="center"/>
    </xf>
    <xf numFmtId="165" fontId="6" fillId="9" borderId="1" xfId="1" applyNumberFormat="1" applyFont="1" applyFill="1" applyBorder="1" applyAlignment="1">
      <alignment horizontal="right" vertical="center" wrapText="1"/>
    </xf>
    <xf numFmtId="0" fontId="16" fillId="5" borderId="5" xfId="0" applyFont="1" applyFill="1" applyBorder="1" applyAlignment="1">
      <alignment horizontal="right" vertical="center" wrapText="1"/>
    </xf>
    <xf numFmtId="0" fontId="16" fillId="9" borderId="5" xfId="0" applyFont="1" applyFill="1" applyBorder="1" applyAlignment="1">
      <alignment horizontal="right" vertical="center" wrapText="1"/>
    </xf>
    <xf numFmtId="0" fontId="16" fillId="0" borderId="1" xfId="0" applyFont="1" applyBorder="1" applyAlignment="1">
      <alignment horizontal="right" vertical="center"/>
    </xf>
    <xf numFmtId="0" fontId="12" fillId="7" borderId="5" xfId="0" applyFont="1" applyFill="1" applyBorder="1" applyAlignment="1">
      <alignment horizontal="right" vertical="center" wrapText="1"/>
    </xf>
    <xf numFmtId="0" fontId="13" fillId="7" borderId="5" xfId="0" applyFont="1" applyFill="1" applyBorder="1" applyAlignment="1">
      <alignment horizontal="right" vertical="center" wrapText="1"/>
    </xf>
    <xf numFmtId="0" fontId="18" fillId="4" borderId="7" xfId="0" applyFont="1" applyFill="1" applyBorder="1" applyAlignment="1">
      <alignment horizontal="right" vertical="center" wrapText="1"/>
    </xf>
    <xf numFmtId="0" fontId="16" fillId="9" borderId="2" xfId="0" applyFont="1" applyFill="1" applyBorder="1" applyAlignment="1">
      <alignment horizontal="right" vertical="center" wrapText="1"/>
    </xf>
    <xf numFmtId="0" fontId="16" fillId="0" borderId="2" xfId="0" applyFont="1" applyBorder="1" applyAlignment="1">
      <alignment horizontal="right" vertical="center"/>
    </xf>
    <xf numFmtId="0" fontId="33" fillId="0" borderId="1" xfId="0" applyFont="1" applyBorder="1" applyAlignment="1">
      <alignment horizontal="right" vertical="center"/>
    </xf>
    <xf numFmtId="0" fontId="6" fillId="0" borderId="2" xfId="0" applyFont="1" applyBorder="1" applyAlignment="1">
      <alignment horizontal="right" vertical="center"/>
    </xf>
    <xf numFmtId="0" fontId="12" fillId="7" borderId="2" xfId="0" applyFont="1" applyFill="1" applyBorder="1" applyAlignment="1">
      <alignment horizontal="right" vertical="center" wrapText="1"/>
    </xf>
    <xf numFmtId="0" fontId="13" fillId="7" borderId="2" xfId="0" applyFont="1" applyFill="1" applyBorder="1" applyAlignment="1">
      <alignment horizontal="right" vertical="center" wrapText="1"/>
    </xf>
    <xf numFmtId="0" fontId="40" fillId="2" borderId="1" xfId="0" applyFont="1" applyFill="1" applyBorder="1" applyAlignment="1">
      <alignment horizontal="left" vertical="center" wrapText="1"/>
    </xf>
    <xf numFmtId="164" fontId="4" fillId="2" borderId="1" xfId="6" applyFont="1" applyFill="1" applyBorder="1" applyAlignment="1">
      <alignment horizontal="center" vertical="center"/>
    </xf>
    <xf numFmtId="0" fontId="19" fillId="2" borderId="1" xfId="0" applyFont="1" applyFill="1" applyBorder="1" applyAlignment="1">
      <alignment horizontal="left" vertical="center" wrapText="1"/>
    </xf>
    <xf numFmtId="0" fontId="19" fillId="2" borderId="1" xfId="0" applyFont="1" applyFill="1" applyBorder="1" applyAlignment="1">
      <alignment vertical="center" wrapText="1"/>
    </xf>
    <xf numFmtId="0" fontId="19" fillId="2" borderId="2" xfId="0" applyFont="1" applyFill="1" applyBorder="1" applyAlignment="1">
      <alignment horizontal="center" vertical="center" wrapText="1"/>
    </xf>
    <xf numFmtId="0" fontId="19" fillId="2" borderId="6" xfId="0" applyFont="1" applyFill="1" applyBorder="1" applyAlignment="1">
      <alignment vertical="center" wrapText="1"/>
    </xf>
    <xf numFmtId="165" fontId="16" fillId="3" borderId="1" xfId="1" applyNumberFormat="1" applyFont="1" applyFill="1" applyBorder="1" applyAlignment="1">
      <alignment horizontal="right" vertical="center" wrapText="1"/>
    </xf>
    <xf numFmtId="0" fontId="15" fillId="8" borderId="5" xfId="0" applyFont="1" applyFill="1" applyBorder="1" applyAlignment="1">
      <alignment vertical="center" wrapText="1"/>
    </xf>
    <xf numFmtId="0" fontId="15" fillId="8" borderId="2" xfId="0" applyFont="1" applyFill="1" applyBorder="1" applyAlignment="1">
      <alignment vertical="center" wrapText="1"/>
    </xf>
    <xf numFmtId="165" fontId="16" fillId="8" borderId="1" xfId="1" applyNumberFormat="1" applyFont="1" applyFill="1" applyBorder="1" applyAlignment="1">
      <alignment horizontal="right" vertical="center" wrapText="1"/>
    </xf>
    <xf numFmtId="0" fontId="46" fillId="8" borderId="1" xfId="0" applyFont="1" applyFill="1" applyBorder="1" applyAlignment="1">
      <alignment horizontal="center" vertical="center" wrapText="1"/>
    </xf>
    <xf numFmtId="0" fontId="47" fillId="2" borderId="1" xfId="0" applyFont="1" applyFill="1" applyBorder="1" applyAlignment="1">
      <alignment horizontal="center" vertical="center" wrapText="1"/>
    </xf>
    <xf numFmtId="0" fontId="31" fillId="2" borderId="1" xfId="0" applyFont="1" applyFill="1" applyBorder="1" applyAlignment="1">
      <alignment horizontal="left" vertical="center" wrapText="1"/>
    </xf>
    <xf numFmtId="0" fontId="46" fillId="2" borderId="1" xfId="0" applyFont="1" applyFill="1" applyBorder="1" applyAlignment="1">
      <alignment horizontal="center" vertical="center" wrapText="1"/>
    </xf>
    <xf numFmtId="0" fontId="46" fillId="2" borderId="1" xfId="0" applyFont="1" applyFill="1" applyBorder="1" applyAlignment="1">
      <alignment vertical="center" wrapText="1"/>
    </xf>
    <xf numFmtId="165" fontId="47" fillId="2" borderId="1" xfId="1" applyNumberFormat="1" applyFont="1" applyFill="1" applyBorder="1" applyAlignment="1">
      <alignment horizontal="right" vertical="center" wrapText="1"/>
    </xf>
    <xf numFmtId="0" fontId="47" fillId="0" borderId="1" xfId="0" applyFont="1" applyBorder="1" applyAlignment="1">
      <alignment horizontal="left" vertical="center" wrapText="1"/>
    </xf>
    <xf numFmtId="0" fontId="47" fillId="0" borderId="1" xfId="0" applyFont="1" applyBorder="1" applyAlignment="1">
      <alignment horizontal="center" vertical="center" wrapText="1"/>
    </xf>
    <xf numFmtId="164" fontId="47" fillId="0" borderId="1" xfId="6" applyFont="1" applyBorder="1" applyAlignment="1">
      <alignment horizontal="center" vertical="center" wrapText="1"/>
    </xf>
    <xf numFmtId="165" fontId="47" fillId="0" borderId="1" xfId="1" applyNumberFormat="1" applyFont="1" applyBorder="1" applyAlignment="1">
      <alignment horizontal="right" vertical="center" wrapText="1"/>
    </xf>
    <xf numFmtId="164" fontId="19" fillId="3" borderId="1" xfId="6" applyFont="1" applyFill="1" applyBorder="1" applyAlignment="1">
      <alignment horizontal="center" vertical="center" wrapText="1"/>
    </xf>
    <xf numFmtId="0" fontId="14" fillId="8" borderId="7" xfId="0" applyFont="1" applyFill="1" applyBorder="1" applyAlignment="1">
      <alignment horizontal="center" vertical="center" wrapText="1"/>
    </xf>
    <xf numFmtId="0" fontId="16" fillId="0" borderId="5" xfId="0" applyFont="1" applyBorder="1" applyAlignment="1">
      <alignment vertical="center" wrapText="1"/>
    </xf>
    <xf numFmtId="0" fontId="19" fillId="0" borderId="5" xfId="0" applyFont="1" applyBorder="1" applyAlignment="1">
      <alignment horizontal="center" vertical="center" wrapText="1"/>
    </xf>
    <xf numFmtId="0" fontId="19" fillId="7" borderId="9" xfId="0" applyFont="1" applyFill="1" applyBorder="1" applyAlignment="1">
      <alignment horizontal="center" vertical="center" wrapText="1"/>
    </xf>
    <xf numFmtId="0" fontId="5" fillId="0" borderId="4" xfId="0" applyFont="1" applyBorder="1" applyAlignment="1">
      <alignment horizontal="center" vertical="center" wrapText="1"/>
    </xf>
    <xf numFmtId="0" fontId="3" fillId="8" borderId="10" xfId="0" applyFont="1" applyFill="1" applyBorder="1" applyAlignment="1">
      <alignment horizontal="center" vertical="center" wrapText="1"/>
    </xf>
    <xf numFmtId="0" fontId="33" fillId="0" borderId="2" xfId="0" applyFont="1" applyBorder="1" applyAlignment="1">
      <alignment horizontal="right" vertical="center"/>
    </xf>
    <xf numFmtId="0" fontId="15" fillId="0" borderId="5" xfId="0" applyFont="1" applyBorder="1" applyAlignment="1">
      <alignment vertical="center"/>
    </xf>
    <xf numFmtId="0" fontId="29" fillId="0" borderId="5" xfId="0" applyFont="1" applyBorder="1" applyAlignment="1">
      <alignment wrapText="1"/>
    </xf>
    <xf numFmtId="0" fontId="48" fillId="11" borderId="7" xfId="0" applyFont="1" applyFill="1" applyBorder="1" applyAlignment="1">
      <alignment horizontal="center" vertical="center" wrapText="1"/>
    </xf>
    <xf numFmtId="0" fontId="19" fillId="8" borderId="1" xfId="0" applyFont="1" applyFill="1" applyBorder="1" applyAlignment="1">
      <alignment horizontal="left" vertical="center" wrapText="1"/>
    </xf>
    <xf numFmtId="0" fontId="6" fillId="10" borderId="8" xfId="0" applyFont="1" applyFill="1" applyBorder="1" applyAlignment="1">
      <alignment horizontal="center" vertical="center" wrapText="1"/>
    </xf>
    <xf numFmtId="0" fontId="6" fillId="10" borderId="7" xfId="0" applyFont="1" applyFill="1" applyBorder="1" applyAlignment="1">
      <alignment horizontal="center" vertical="center" wrapText="1"/>
    </xf>
    <xf numFmtId="0" fontId="45" fillId="8" borderId="3" xfId="0" applyFont="1" applyFill="1" applyBorder="1" applyAlignment="1">
      <alignment horizontal="center" vertical="center" wrapText="1"/>
    </xf>
    <xf numFmtId="0" fontId="45" fillId="8" borderId="10" xfId="0" applyFont="1" applyFill="1" applyBorder="1" applyAlignment="1">
      <alignment horizontal="center" vertical="center" wrapText="1"/>
    </xf>
    <xf numFmtId="0" fontId="45" fillId="8" borderId="4" xfId="0" applyFont="1" applyFill="1" applyBorder="1" applyAlignment="1">
      <alignment horizontal="center" vertical="center" wrapText="1"/>
    </xf>
    <xf numFmtId="0" fontId="43" fillId="8" borderId="10" xfId="0" applyFont="1" applyFill="1" applyBorder="1" applyAlignment="1">
      <alignment horizontal="center" vertical="center" wrapText="1"/>
    </xf>
    <xf numFmtId="0" fontId="43" fillId="8" borderId="4" xfId="0" applyFont="1" applyFill="1" applyBorder="1" applyAlignment="1">
      <alignment horizontal="center" vertical="center" wrapText="1"/>
    </xf>
    <xf numFmtId="0" fontId="42" fillId="8" borderId="1" xfId="0" applyFont="1" applyFill="1" applyBorder="1" applyAlignment="1">
      <alignment horizontal="center" vertical="center" wrapText="1"/>
    </xf>
    <xf numFmtId="0" fontId="40" fillId="9" borderId="6" xfId="0" applyFont="1" applyFill="1" applyBorder="1" applyAlignment="1">
      <alignment horizontal="center" vertical="center" wrapText="1"/>
    </xf>
    <xf numFmtId="0" fontId="40" fillId="9" borderId="5" xfId="0" applyFont="1" applyFill="1" applyBorder="1" applyAlignment="1">
      <alignment horizontal="center" vertical="center" wrapText="1"/>
    </xf>
    <xf numFmtId="0" fontId="6" fillId="8" borderId="8" xfId="0" applyFont="1" applyFill="1" applyBorder="1" applyAlignment="1">
      <alignment horizontal="center" vertical="center" wrapText="1"/>
    </xf>
    <xf numFmtId="0" fontId="6" fillId="8" borderId="7"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45" fillId="0" borderId="3" xfId="0" applyFont="1" applyBorder="1" applyAlignment="1">
      <alignment horizontal="center" vertical="center" wrapText="1"/>
    </xf>
    <xf numFmtId="0" fontId="45" fillId="0" borderId="10" xfId="0" applyFont="1" applyBorder="1" applyAlignment="1">
      <alignment horizontal="center" vertical="center" wrapText="1"/>
    </xf>
    <xf numFmtId="0" fontId="45" fillId="0" borderId="4" xfId="0" applyFont="1" applyBorder="1" applyAlignment="1">
      <alignment horizontal="center" vertical="center" wrapText="1"/>
    </xf>
    <xf numFmtId="0" fontId="43" fillId="10" borderId="3" xfId="0" applyFont="1" applyFill="1" applyBorder="1" applyAlignment="1">
      <alignment horizontal="center" vertical="center" wrapText="1"/>
    </xf>
    <xf numFmtId="0" fontId="43" fillId="10" borderId="4" xfId="0" applyFont="1" applyFill="1" applyBorder="1" applyAlignment="1">
      <alignment horizontal="center" vertical="center" wrapText="1"/>
    </xf>
    <xf numFmtId="0" fontId="38" fillId="7" borderId="6" xfId="0" applyFont="1" applyFill="1" applyBorder="1" applyAlignment="1">
      <alignment horizontal="center" vertical="center" wrapText="1"/>
    </xf>
    <xf numFmtId="0" fontId="38" fillId="7" borderId="5" xfId="0" applyFont="1" applyFill="1" applyBorder="1" applyAlignment="1">
      <alignment horizontal="center" vertical="center" wrapText="1"/>
    </xf>
    <xf numFmtId="0" fontId="38" fillId="5" borderId="6" xfId="0" applyFont="1" applyFill="1" applyBorder="1" applyAlignment="1">
      <alignment horizontal="center" vertical="center" wrapText="1"/>
    </xf>
    <xf numFmtId="0" fontId="38" fillId="5" borderId="5" xfId="0" applyFont="1" applyFill="1" applyBorder="1" applyAlignment="1">
      <alignment horizontal="center" vertical="center" wrapText="1"/>
    </xf>
    <xf numFmtId="0" fontId="14" fillId="7" borderId="3" xfId="0" applyFont="1" applyFill="1" applyBorder="1" applyAlignment="1">
      <alignment horizontal="center" vertical="center" wrapText="1"/>
    </xf>
    <xf numFmtId="0" fontId="14" fillId="7" borderId="4"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14" fillId="8" borderId="3" xfId="0" applyFont="1" applyFill="1" applyBorder="1" applyAlignment="1">
      <alignment horizontal="center" vertical="center" wrapText="1"/>
    </xf>
    <xf numFmtId="0" fontId="14" fillId="8" borderId="10" xfId="0" applyFont="1" applyFill="1" applyBorder="1" applyAlignment="1">
      <alignment horizontal="center" vertical="center" wrapText="1"/>
    </xf>
    <xf numFmtId="0" fontId="14" fillId="8" borderId="4" xfId="0" applyFont="1" applyFill="1" applyBorder="1" applyAlignment="1">
      <alignment horizontal="center" vertical="center" wrapText="1"/>
    </xf>
    <xf numFmtId="0" fontId="44" fillId="3" borderId="6" xfId="0" applyFont="1" applyFill="1" applyBorder="1" applyAlignment="1">
      <alignment horizontal="center" vertical="center" wrapText="1"/>
    </xf>
    <xf numFmtId="0" fontId="44" fillId="3" borderId="5" xfId="0" applyFont="1" applyFill="1" applyBorder="1" applyAlignment="1">
      <alignment horizontal="center" vertical="center" wrapText="1"/>
    </xf>
    <xf numFmtId="0" fontId="44" fillId="3" borderId="2" xfId="0" applyFont="1" applyFill="1" applyBorder="1" applyAlignment="1">
      <alignment horizontal="center" vertical="center" wrapText="1"/>
    </xf>
    <xf numFmtId="0" fontId="38" fillId="9" borderId="6" xfId="0" applyFont="1" applyFill="1" applyBorder="1" applyAlignment="1">
      <alignment horizontal="center" vertical="center" wrapText="1"/>
    </xf>
    <xf numFmtId="0" fontId="38" fillId="9" borderId="5" xfId="0" applyFont="1" applyFill="1" applyBorder="1" applyAlignment="1">
      <alignment horizontal="center" vertical="center" wrapText="1"/>
    </xf>
    <xf numFmtId="0" fontId="38" fillId="9" borderId="2" xfId="0" applyFont="1" applyFill="1" applyBorder="1" applyAlignment="1">
      <alignment horizontal="center" vertical="center" wrapText="1"/>
    </xf>
    <xf numFmtId="0" fontId="37" fillId="3" borderId="6" xfId="0" applyFont="1" applyFill="1" applyBorder="1" applyAlignment="1">
      <alignment horizontal="center" vertical="center" wrapText="1"/>
    </xf>
    <xf numFmtId="0" fontId="37" fillId="3" borderId="5" xfId="0" applyFont="1" applyFill="1" applyBorder="1" applyAlignment="1">
      <alignment horizontal="center" vertical="center" wrapText="1"/>
    </xf>
    <xf numFmtId="0" fontId="36" fillId="7" borderId="6" xfId="0" applyFont="1" applyFill="1" applyBorder="1" applyAlignment="1">
      <alignment horizontal="center" vertical="center" wrapText="1"/>
    </xf>
    <xf numFmtId="0" fontId="36" fillId="7" borderId="5" xfId="0" applyFont="1" applyFill="1" applyBorder="1" applyAlignment="1">
      <alignment horizontal="center" vertical="center" wrapText="1"/>
    </xf>
    <xf numFmtId="0" fontId="36" fillId="7" borderId="2" xfId="0" applyFont="1" applyFill="1" applyBorder="1" applyAlignment="1">
      <alignment horizontal="center" vertical="center" wrapText="1"/>
    </xf>
    <xf numFmtId="0" fontId="14" fillId="7" borderId="10" xfId="0" applyFont="1" applyFill="1" applyBorder="1" applyAlignment="1">
      <alignment horizontal="center" vertical="center" wrapText="1"/>
    </xf>
    <xf numFmtId="0" fontId="35" fillId="8" borderId="5" xfId="0" applyFont="1" applyFill="1" applyBorder="1" applyAlignment="1">
      <alignment horizontal="center" vertical="center" wrapText="1"/>
    </xf>
    <xf numFmtId="0" fontId="36" fillId="9" borderId="6" xfId="0" applyFont="1" applyFill="1" applyBorder="1" applyAlignment="1">
      <alignment horizontal="center" vertical="center" wrapText="1"/>
    </xf>
    <xf numFmtId="0" fontId="36" fillId="9" borderId="5" xfId="0" applyFont="1" applyFill="1" applyBorder="1" applyAlignment="1">
      <alignment horizontal="center" vertical="center" wrapText="1"/>
    </xf>
    <xf numFmtId="0" fontId="13" fillId="7" borderId="6"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10" xfId="0" applyFont="1" applyFill="1" applyBorder="1" applyAlignment="1">
      <alignment horizontal="center" vertical="center"/>
    </xf>
    <xf numFmtId="0" fontId="3" fillId="8" borderId="4" xfId="0" applyFont="1" applyFill="1" applyBorder="1" applyAlignment="1">
      <alignment horizontal="center" vertical="center"/>
    </xf>
    <xf numFmtId="0" fontId="5" fillId="8" borderId="3" xfId="0" applyFont="1" applyFill="1" applyBorder="1" applyAlignment="1">
      <alignment horizontal="center" vertical="center" wrapText="1"/>
    </xf>
    <xf numFmtId="0" fontId="5" fillId="8" borderId="10"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0" xfId="0" applyFont="1" applyBorder="1" applyAlignment="1">
      <alignment horizontal="center" vertical="center" wrapText="1"/>
    </xf>
    <xf numFmtId="0" fontId="39" fillId="7" borderId="1" xfId="0" applyFont="1" applyFill="1" applyBorder="1" applyAlignment="1">
      <alignment horizontal="center" vertical="center"/>
    </xf>
  </cellXfs>
  <cellStyles count="7">
    <cellStyle name="Bình thường" xfId="0" builtinId="0"/>
    <cellStyle name="Comma 4" xfId="2" xr:uid="{00000000-0005-0000-0000-000001000000}"/>
    <cellStyle name="Dấu phẩy" xfId="1" builtinId="3"/>
    <cellStyle name="Dấu phẩy [0]" xfId="6" builtinId="6"/>
    <cellStyle name="Normal 5" xfId="3" xr:uid="{00000000-0005-0000-0000-000004000000}"/>
    <cellStyle name="常规 2" xfId="5" xr:uid="{8D992375-EBEF-4910-86B9-12371D6C35B1}"/>
    <cellStyle name="常规 2 2" xfId="4" xr:uid="{D32C162C-4189-4759-916A-C53E9A3F20B0}"/>
  </cellStyles>
  <dxfs count="1">
    <dxf>
      <font>
        <color rgb="FF9C0006"/>
      </font>
      <fill>
        <patternFill patternType="solid">
          <bgColor rgb="FFFFC7CE"/>
        </patternFill>
      </fill>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N185"/>
  <sheetViews>
    <sheetView tabSelected="1" topLeftCell="B37" zoomScale="70" zoomScaleNormal="70" workbookViewId="0">
      <selection activeCell="P37" sqref="P37"/>
    </sheetView>
  </sheetViews>
  <sheetFormatPr defaultColWidth="9.3984375" defaultRowHeight="16.5"/>
  <cols>
    <col min="1" max="1" width="7.3984375" style="7" hidden="1" customWidth="1"/>
    <col min="2" max="2" width="15.19921875" style="6" customWidth="1"/>
    <col min="3" max="3" width="11.69921875" style="7" customWidth="1"/>
    <col min="4" max="4" width="64.09765625" style="3" customWidth="1"/>
    <col min="5" max="5" width="18.59765625" style="10" customWidth="1"/>
    <col min="6" max="6" width="6.09765625" style="1" bestFit="1" customWidth="1"/>
    <col min="7" max="7" width="7.796875" style="1" customWidth="1"/>
    <col min="8" max="8" width="12.8984375" style="100" bestFit="1" customWidth="1"/>
    <col min="9" max="9" width="15.8984375" style="82" bestFit="1" customWidth="1"/>
    <col min="10" max="11" width="14.8984375" style="82" bestFit="1" customWidth="1"/>
    <col min="12" max="16" width="9.3984375" style="3"/>
    <col min="17" max="17" width="10" style="3" customWidth="1"/>
    <col min="18" max="16384" width="9.3984375" style="3"/>
  </cols>
  <sheetData>
    <row r="1" spans="1:11" ht="26">
      <c r="A1" s="33"/>
      <c r="B1" s="193" t="s">
        <v>7</v>
      </c>
      <c r="C1" s="194"/>
      <c r="D1" s="194"/>
      <c r="E1" s="194"/>
      <c r="F1" s="38"/>
      <c r="G1" s="38"/>
      <c r="H1" s="95"/>
      <c r="I1" s="38"/>
      <c r="J1" s="127"/>
      <c r="K1" s="127"/>
    </row>
    <row r="2" spans="1:11" ht="34.5">
      <c r="A2" s="39" t="s">
        <v>6</v>
      </c>
      <c r="B2" s="40" t="s">
        <v>0</v>
      </c>
      <c r="C2" s="40" t="s">
        <v>90</v>
      </c>
      <c r="D2" s="40" t="s">
        <v>8</v>
      </c>
      <c r="E2" s="40" t="s">
        <v>28</v>
      </c>
      <c r="F2" s="41" t="s">
        <v>1</v>
      </c>
      <c r="G2" s="42" t="s">
        <v>4</v>
      </c>
      <c r="H2" s="96" t="s">
        <v>5</v>
      </c>
      <c r="I2" s="42" t="s">
        <v>204</v>
      </c>
      <c r="J2" s="42" t="s">
        <v>205</v>
      </c>
      <c r="K2" s="132" t="s">
        <v>206</v>
      </c>
    </row>
    <row r="3" spans="1:11" ht="103.5">
      <c r="A3" s="39"/>
      <c r="B3" s="120"/>
      <c r="C3" s="34">
        <v>615</v>
      </c>
      <c r="D3" s="44" t="s">
        <v>309</v>
      </c>
      <c r="E3" s="45" t="s">
        <v>282</v>
      </c>
      <c r="F3" s="45" t="s">
        <v>2</v>
      </c>
      <c r="G3" s="35"/>
      <c r="H3" s="94">
        <f>3500*615</f>
        <v>2152500</v>
      </c>
      <c r="I3" s="36">
        <f t="shared" ref="I3:I34" si="0">H3*1.1</f>
        <v>2367750</v>
      </c>
      <c r="J3" s="36">
        <f t="shared" ref="J3:J34" si="1">H3*1.2</f>
        <v>2583000</v>
      </c>
      <c r="K3" s="36">
        <f t="shared" ref="K3:K50" si="2">H3*1.3</f>
        <v>2798250</v>
      </c>
    </row>
    <row r="4" spans="1:11" ht="115">
      <c r="A4" s="39"/>
      <c r="B4" s="120"/>
      <c r="C4" s="34">
        <v>625</v>
      </c>
      <c r="D4" s="44" t="s">
        <v>310</v>
      </c>
      <c r="E4" s="45" t="s">
        <v>282</v>
      </c>
      <c r="F4" s="45" t="s">
        <v>2</v>
      </c>
      <c r="G4" s="35"/>
      <c r="H4" s="94">
        <f>3400*625</f>
        <v>2125000</v>
      </c>
      <c r="I4" s="36">
        <f t="shared" si="0"/>
        <v>2337500</v>
      </c>
      <c r="J4" s="36">
        <f t="shared" si="1"/>
        <v>2550000</v>
      </c>
      <c r="K4" s="36">
        <f t="shared" si="2"/>
        <v>2762500</v>
      </c>
    </row>
    <row r="5" spans="1:11" ht="126.5">
      <c r="A5" s="39"/>
      <c r="B5" s="120"/>
      <c r="C5" s="34">
        <v>630</v>
      </c>
      <c r="D5" s="44" t="s">
        <v>390</v>
      </c>
      <c r="E5" s="45" t="s">
        <v>362</v>
      </c>
      <c r="F5" s="45" t="s">
        <v>2</v>
      </c>
      <c r="G5" s="35"/>
      <c r="H5" s="94">
        <f>3500*630</f>
        <v>2205000</v>
      </c>
      <c r="I5" s="36">
        <f t="shared" si="0"/>
        <v>2425500</v>
      </c>
      <c r="J5" s="36">
        <f t="shared" si="1"/>
        <v>2646000</v>
      </c>
      <c r="K5" s="36">
        <f t="shared" si="2"/>
        <v>2866500</v>
      </c>
    </row>
    <row r="6" spans="1:11" ht="115">
      <c r="A6" s="39"/>
      <c r="B6" s="120"/>
      <c r="C6" s="46">
        <v>626</v>
      </c>
      <c r="D6" s="44" t="s">
        <v>353</v>
      </c>
      <c r="E6" s="45" t="s">
        <v>29</v>
      </c>
      <c r="F6" s="45" t="s">
        <v>2</v>
      </c>
      <c r="G6" s="35"/>
      <c r="H6" s="94">
        <f>3600*625</f>
        <v>2250000</v>
      </c>
      <c r="I6" s="36">
        <f t="shared" si="0"/>
        <v>2475000</v>
      </c>
      <c r="J6" s="36">
        <f t="shared" si="1"/>
        <v>2700000</v>
      </c>
      <c r="K6" s="36">
        <f t="shared" si="2"/>
        <v>2925000</v>
      </c>
    </row>
    <row r="7" spans="1:11" ht="16">
      <c r="A7" s="39"/>
      <c r="B7" s="120"/>
      <c r="C7" s="46"/>
      <c r="D7" s="44"/>
      <c r="E7" s="45"/>
      <c r="F7" s="45"/>
      <c r="G7" s="35"/>
      <c r="H7" s="94"/>
      <c r="I7" s="36"/>
      <c r="J7" s="36"/>
      <c r="K7" s="36"/>
    </row>
    <row r="8" spans="1:11" ht="92">
      <c r="A8" s="39"/>
      <c r="B8" s="120"/>
      <c r="C8" s="46">
        <v>620</v>
      </c>
      <c r="D8" s="44" t="s">
        <v>387</v>
      </c>
      <c r="E8" s="45" t="s">
        <v>154</v>
      </c>
      <c r="F8" s="45" t="s">
        <v>2</v>
      </c>
      <c r="G8" s="35"/>
      <c r="H8" s="94">
        <f>3500*620</f>
        <v>2170000</v>
      </c>
      <c r="I8" s="36">
        <f t="shared" si="0"/>
        <v>2387000</v>
      </c>
      <c r="J8" s="36">
        <f t="shared" si="1"/>
        <v>2604000</v>
      </c>
      <c r="K8" s="36">
        <f t="shared" si="2"/>
        <v>2821000</v>
      </c>
    </row>
    <row r="9" spans="1:11" ht="138">
      <c r="A9" s="39"/>
      <c r="B9" s="170"/>
      <c r="C9" s="46">
        <v>650</v>
      </c>
      <c r="D9" s="44" t="s">
        <v>331</v>
      </c>
      <c r="E9" s="45" t="s">
        <v>330</v>
      </c>
      <c r="F9" s="45" t="s">
        <v>2</v>
      </c>
      <c r="G9" s="35"/>
      <c r="H9" s="94">
        <f>3550*650</f>
        <v>2307500</v>
      </c>
      <c r="I9" s="36">
        <f t="shared" si="0"/>
        <v>2538250</v>
      </c>
      <c r="J9" s="36">
        <f t="shared" si="1"/>
        <v>2769000</v>
      </c>
      <c r="K9" s="36">
        <f t="shared" si="2"/>
        <v>2999750</v>
      </c>
    </row>
    <row r="10" spans="1:11" s="87" customFormat="1" ht="26">
      <c r="A10" s="86"/>
      <c r="B10" s="191" t="s">
        <v>185</v>
      </c>
      <c r="C10" s="192"/>
      <c r="D10" s="192"/>
      <c r="E10" s="192"/>
      <c r="F10" s="47"/>
      <c r="G10" s="47"/>
      <c r="H10" s="115"/>
      <c r="I10" s="36">
        <f t="shared" si="0"/>
        <v>0</v>
      </c>
      <c r="J10" s="36">
        <f t="shared" si="1"/>
        <v>0</v>
      </c>
      <c r="K10" s="36">
        <f t="shared" si="2"/>
        <v>0</v>
      </c>
    </row>
    <row r="11" spans="1:11" ht="46">
      <c r="A11" s="39"/>
      <c r="B11" s="195" t="s">
        <v>186</v>
      </c>
      <c r="C11" s="46" t="s">
        <v>167</v>
      </c>
      <c r="D11" s="85" t="s">
        <v>168</v>
      </c>
      <c r="E11" s="45" t="s">
        <v>172</v>
      </c>
      <c r="F11" s="45" t="s">
        <v>3</v>
      </c>
      <c r="G11" s="35"/>
      <c r="H11" s="94">
        <v>38000000</v>
      </c>
      <c r="I11" s="36">
        <f t="shared" si="0"/>
        <v>41800000</v>
      </c>
      <c r="J11" s="36">
        <f t="shared" si="1"/>
        <v>45600000</v>
      </c>
      <c r="K11" s="36">
        <f t="shared" si="2"/>
        <v>49400000</v>
      </c>
    </row>
    <row r="12" spans="1:11" ht="46">
      <c r="A12" s="39"/>
      <c r="B12" s="213"/>
      <c r="C12" s="46" t="s">
        <v>169</v>
      </c>
      <c r="D12" s="85" t="s">
        <v>173</v>
      </c>
      <c r="E12" s="45" t="s">
        <v>172</v>
      </c>
      <c r="F12" s="45" t="s">
        <v>3</v>
      </c>
      <c r="G12" s="35"/>
      <c r="H12" s="94">
        <v>39000000</v>
      </c>
      <c r="I12" s="36">
        <f t="shared" si="0"/>
        <v>42900000</v>
      </c>
      <c r="J12" s="36">
        <f t="shared" si="1"/>
        <v>46800000</v>
      </c>
      <c r="K12" s="36">
        <f t="shared" si="2"/>
        <v>50700000</v>
      </c>
    </row>
    <row r="13" spans="1:11" ht="46">
      <c r="A13" s="39"/>
      <c r="B13" s="213"/>
      <c r="C13" s="46" t="s">
        <v>170</v>
      </c>
      <c r="D13" s="85" t="s">
        <v>174</v>
      </c>
      <c r="E13" s="45" t="s">
        <v>172</v>
      </c>
      <c r="F13" s="45" t="s">
        <v>3</v>
      </c>
      <c r="G13" s="35"/>
      <c r="H13" s="94">
        <v>42000000</v>
      </c>
      <c r="I13" s="36">
        <f t="shared" si="0"/>
        <v>46200000.000000007</v>
      </c>
      <c r="J13" s="36">
        <f t="shared" si="1"/>
        <v>50400000</v>
      </c>
      <c r="K13" s="36">
        <f t="shared" si="2"/>
        <v>54600000</v>
      </c>
    </row>
    <row r="14" spans="1:11" ht="46">
      <c r="A14" s="39"/>
      <c r="B14" s="213"/>
      <c r="C14" s="46" t="s">
        <v>171</v>
      </c>
      <c r="D14" s="85" t="s">
        <v>175</v>
      </c>
      <c r="E14" s="45" t="s">
        <v>172</v>
      </c>
      <c r="F14" s="45" t="s">
        <v>3</v>
      </c>
      <c r="G14" s="35"/>
      <c r="H14" s="94">
        <v>45000000</v>
      </c>
      <c r="I14" s="36">
        <f t="shared" si="0"/>
        <v>49500000.000000007</v>
      </c>
      <c r="J14" s="36">
        <f t="shared" si="1"/>
        <v>54000000</v>
      </c>
      <c r="K14" s="36">
        <f t="shared" si="2"/>
        <v>58500000</v>
      </c>
    </row>
    <row r="15" spans="1:11" ht="46">
      <c r="A15" s="39"/>
      <c r="B15" s="196"/>
      <c r="C15" s="46" t="s">
        <v>292</v>
      </c>
      <c r="D15" s="44" t="s">
        <v>293</v>
      </c>
      <c r="E15" s="45" t="s">
        <v>172</v>
      </c>
      <c r="F15" s="45" t="s">
        <v>3</v>
      </c>
      <c r="G15" s="35"/>
      <c r="H15" s="94">
        <v>51000000</v>
      </c>
      <c r="I15" s="36">
        <f t="shared" si="0"/>
        <v>56100000.000000007</v>
      </c>
      <c r="J15" s="36">
        <f t="shared" si="1"/>
        <v>61200000</v>
      </c>
      <c r="K15" s="36">
        <f t="shared" si="2"/>
        <v>66300000</v>
      </c>
    </row>
    <row r="16" spans="1:11" ht="34.5">
      <c r="A16" s="39"/>
      <c r="B16" s="199" t="s">
        <v>187</v>
      </c>
      <c r="C16" s="116" t="s">
        <v>189</v>
      </c>
      <c r="D16" s="44" t="s">
        <v>188</v>
      </c>
      <c r="E16" s="45" t="s">
        <v>172</v>
      </c>
      <c r="F16" s="45" t="s">
        <v>3</v>
      </c>
      <c r="G16" s="35"/>
      <c r="H16" s="94">
        <v>18500000</v>
      </c>
      <c r="I16" s="36">
        <f t="shared" si="0"/>
        <v>20350000</v>
      </c>
      <c r="J16" s="36">
        <f t="shared" si="1"/>
        <v>22200000</v>
      </c>
      <c r="K16" s="36">
        <f t="shared" si="2"/>
        <v>24050000</v>
      </c>
    </row>
    <row r="17" spans="1:11" ht="34.5">
      <c r="A17" s="39"/>
      <c r="B17" s="200"/>
      <c r="C17" s="116" t="s">
        <v>190</v>
      </c>
      <c r="D17" s="44" t="s">
        <v>188</v>
      </c>
      <c r="E17" s="45" t="s">
        <v>172</v>
      </c>
      <c r="F17" s="45" t="s">
        <v>3</v>
      </c>
      <c r="G17" s="35"/>
      <c r="H17" s="94">
        <v>19100000</v>
      </c>
      <c r="I17" s="36">
        <f t="shared" si="0"/>
        <v>21010000</v>
      </c>
      <c r="J17" s="36">
        <f t="shared" si="1"/>
        <v>22920000</v>
      </c>
      <c r="K17" s="36">
        <f t="shared" si="2"/>
        <v>24830000</v>
      </c>
    </row>
    <row r="18" spans="1:11" ht="34.5">
      <c r="A18" s="39"/>
      <c r="B18" s="200"/>
      <c r="C18" s="116" t="s">
        <v>191</v>
      </c>
      <c r="D18" s="44" t="s">
        <v>194</v>
      </c>
      <c r="E18" s="45" t="s">
        <v>172</v>
      </c>
      <c r="F18" s="45" t="s">
        <v>3</v>
      </c>
      <c r="G18" s="35"/>
      <c r="H18" s="94">
        <v>25500000</v>
      </c>
      <c r="I18" s="36">
        <f t="shared" si="0"/>
        <v>28050000.000000004</v>
      </c>
      <c r="J18" s="36">
        <f t="shared" si="1"/>
        <v>30600000</v>
      </c>
      <c r="K18" s="36">
        <f t="shared" si="2"/>
        <v>33150000</v>
      </c>
    </row>
    <row r="19" spans="1:11" ht="46">
      <c r="A19" s="39"/>
      <c r="B19" s="200"/>
      <c r="C19" s="116" t="s">
        <v>192</v>
      </c>
      <c r="D19" s="44" t="s">
        <v>196</v>
      </c>
      <c r="E19" s="45" t="s">
        <v>172</v>
      </c>
      <c r="F19" s="45" t="s">
        <v>3</v>
      </c>
      <c r="G19" s="35"/>
      <c r="H19" s="94">
        <v>39000000</v>
      </c>
      <c r="I19" s="36">
        <f t="shared" si="0"/>
        <v>42900000</v>
      </c>
      <c r="J19" s="36">
        <f t="shared" si="1"/>
        <v>46800000</v>
      </c>
      <c r="K19" s="36">
        <f t="shared" si="2"/>
        <v>50700000</v>
      </c>
    </row>
    <row r="20" spans="1:11" ht="46">
      <c r="A20" s="39"/>
      <c r="B20" s="200"/>
      <c r="C20" s="116" t="s">
        <v>294</v>
      </c>
      <c r="D20" s="44" t="s">
        <v>295</v>
      </c>
      <c r="E20" s="45" t="s">
        <v>172</v>
      </c>
      <c r="F20" s="45" t="s">
        <v>3</v>
      </c>
      <c r="G20" s="35"/>
      <c r="H20" s="94">
        <v>43500000</v>
      </c>
      <c r="I20" s="36">
        <f t="shared" si="0"/>
        <v>47850000.000000007</v>
      </c>
      <c r="J20" s="36">
        <f t="shared" si="1"/>
        <v>52200000</v>
      </c>
      <c r="K20" s="36">
        <f t="shared" si="2"/>
        <v>56550000</v>
      </c>
    </row>
    <row r="21" spans="1:11" ht="46">
      <c r="A21" s="39"/>
      <c r="B21" s="201"/>
      <c r="C21" s="116" t="s">
        <v>193</v>
      </c>
      <c r="D21" s="44" t="s">
        <v>195</v>
      </c>
      <c r="E21" s="45" t="s">
        <v>172</v>
      </c>
      <c r="F21" s="45" t="s">
        <v>3</v>
      </c>
      <c r="G21" s="35"/>
      <c r="H21" s="94">
        <v>47000000</v>
      </c>
      <c r="I21" s="36">
        <f t="shared" si="0"/>
        <v>51700000.000000007</v>
      </c>
      <c r="J21" s="36">
        <f t="shared" si="1"/>
        <v>56400000</v>
      </c>
      <c r="K21" s="36">
        <f t="shared" si="2"/>
        <v>61100000</v>
      </c>
    </row>
    <row r="22" spans="1:11" ht="34.5">
      <c r="A22" s="39"/>
      <c r="B22" s="199" t="s">
        <v>318</v>
      </c>
      <c r="C22" s="116" t="s">
        <v>315</v>
      </c>
      <c r="D22" s="44" t="s">
        <v>328</v>
      </c>
      <c r="E22" s="45" t="s">
        <v>172</v>
      </c>
      <c r="F22" s="45" t="s">
        <v>3</v>
      </c>
      <c r="G22" s="35"/>
      <c r="H22" s="94">
        <v>180000000</v>
      </c>
      <c r="I22" s="36">
        <f t="shared" si="0"/>
        <v>198000000.00000003</v>
      </c>
      <c r="J22" s="36">
        <f t="shared" si="1"/>
        <v>216000000</v>
      </c>
      <c r="K22" s="36">
        <f t="shared" si="2"/>
        <v>234000000</v>
      </c>
    </row>
    <row r="23" spans="1:11" ht="34.5">
      <c r="A23" s="39"/>
      <c r="B23" s="201"/>
      <c r="C23" s="116" t="s">
        <v>316</v>
      </c>
      <c r="D23" s="44" t="s">
        <v>329</v>
      </c>
      <c r="E23" s="45" t="s">
        <v>172</v>
      </c>
      <c r="F23" s="45" t="s">
        <v>3</v>
      </c>
      <c r="G23" s="35"/>
      <c r="H23" s="94">
        <v>220000000</v>
      </c>
      <c r="I23" s="36">
        <f t="shared" si="0"/>
        <v>242000000.00000003</v>
      </c>
      <c r="J23" s="36">
        <f t="shared" si="1"/>
        <v>264000000</v>
      </c>
      <c r="K23" s="36">
        <f t="shared" si="2"/>
        <v>286000000</v>
      </c>
    </row>
    <row r="24" spans="1:11" ht="69">
      <c r="A24" s="39"/>
      <c r="B24" s="199" t="s">
        <v>317</v>
      </c>
      <c r="C24" s="46" t="s">
        <v>311</v>
      </c>
      <c r="D24" s="44" t="s">
        <v>313</v>
      </c>
      <c r="E24" s="45" t="s">
        <v>172</v>
      </c>
      <c r="F24" s="45" t="s">
        <v>3</v>
      </c>
      <c r="G24" s="35"/>
      <c r="H24" s="94">
        <v>75000000</v>
      </c>
      <c r="I24" s="36">
        <f t="shared" si="0"/>
        <v>82500000</v>
      </c>
      <c r="J24" s="36">
        <f t="shared" si="1"/>
        <v>90000000</v>
      </c>
      <c r="K24" s="36">
        <f t="shared" si="2"/>
        <v>97500000</v>
      </c>
    </row>
    <row r="25" spans="1:11" ht="69">
      <c r="A25" s="39"/>
      <c r="B25" s="201"/>
      <c r="C25" s="46" t="s">
        <v>312</v>
      </c>
      <c r="D25" s="44" t="s">
        <v>314</v>
      </c>
      <c r="E25" s="45" t="s">
        <v>172</v>
      </c>
      <c r="F25" s="45" t="s">
        <v>3</v>
      </c>
      <c r="G25" s="35"/>
      <c r="H25" s="94">
        <v>80000000</v>
      </c>
      <c r="I25" s="36">
        <f t="shared" si="0"/>
        <v>88000000</v>
      </c>
      <c r="J25" s="36">
        <f t="shared" si="1"/>
        <v>96000000</v>
      </c>
      <c r="K25" s="36">
        <f t="shared" si="2"/>
        <v>104000000</v>
      </c>
    </row>
    <row r="26" spans="1:11" ht="16">
      <c r="A26" s="39"/>
      <c r="B26" s="160"/>
      <c r="C26" s="161"/>
      <c r="D26" s="85"/>
      <c r="E26" s="162"/>
      <c r="F26" s="162"/>
      <c r="G26" s="117"/>
      <c r="H26" s="118"/>
      <c r="I26" s="36"/>
      <c r="J26" s="36"/>
      <c r="K26" s="36"/>
    </row>
    <row r="27" spans="1:11" ht="32.5">
      <c r="A27" s="39"/>
      <c r="B27" s="208" t="s">
        <v>197</v>
      </c>
      <c r="C27" s="209"/>
      <c r="D27" s="209"/>
      <c r="E27" s="209"/>
      <c r="F27" s="209"/>
      <c r="G27" s="117"/>
      <c r="H27" s="118"/>
      <c r="I27" s="36">
        <f t="shared" si="0"/>
        <v>0</v>
      </c>
      <c r="J27" s="36">
        <f t="shared" si="1"/>
        <v>0</v>
      </c>
      <c r="K27" s="36">
        <f t="shared" si="2"/>
        <v>0</v>
      </c>
    </row>
    <row r="28" spans="1:11" ht="92">
      <c r="A28" s="39"/>
      <c r="B28" s="199" t="s">
        <v>198</v>
      </c>
      <c r="C28" s="46" t="s">
        <v>200</v>
      </c>
      <c r="D28" s="44" t="s">
        <v>199</v>
      </c>
      <c r="E28" s="45" t="s">
        <v>203</v>
      </c>
      <c r="F28" s="45" t="s">
        <v>3</v>
      </c>
      <c r="G28" s="35"/>
      <c r="H28" s="94">
        <v>17500000</v>
      </c>
      <c r="I28" s="36">
        <f t="shared" si="0"/>
        <v>19250000</v>
      </c>
      <c r="J28" s="36">
        <f t="shared" si="1"/>
        <v>21000000</v>
      </c>
      <c r="K28" s="36">
        <f t="shared" si="2"/>
        <v>22750000</v>
      </c>
    </row>
    <row r="29" spans="1:11" ht="115">
      <c r="A29" s="39"/>
      <c r="B29" s="201"/>
      <c r="C29" s="46" t="s">
        <v>202</v>
      </c>
      <c r="D29" s="44" t="s">
        <v>201</v>
      </c>
      <c r="E29" s="45" t="s">
        <v>203</v>
      </c>
      <c r="F29" s="45" t="s">
        <v>3</v>
      </c>
      <c r="G29" s="35"/>
      <c r="H29" s="94">
        <v>41000000</v>
      </c>
      <c r="I29" s="36">
        <f t="shared" si="0"/>
        <v>45100000</v>
      </c>
      <c r="J29" s="36">
        <f t="shared" si="1"/>
        <v>49200000</v>
      </c>
      <c r="K29" s="36">
        <f t="shared" si="2"/>
        <v>53300000</v>
      </c>
    </row>
    <row r="30" spans="1:11" ht="26">
      <c r="A30" s="39"/>
      <c r="B30" s="88"/>
      <c r="C30" s="205" t="s">
        <v>176</v>
      </c>
      <c r="D30" s="206"/>
      <c r="E30" s="206"/>
      <c r="F30" s="206"/>
      <c r="G30" s="206"/>
      <c r="H30" s="207"/>
      <c r="I30" s="36">
        <f t="shared" si="0"/>
        <v>0</v>
      </c>
      <c r="J30" s="36">
        <f t="shared" si="1"/>
        <v>0</v>
      </c>
      <c r="K30" s="36">
        <f t="shared" si="2"/>
        <v>0</v>
      </c>
    </row>
    <row r="31" spans="1:11" s="4" customFormat="1" ht="34.5">
      <c r="A31" s="89"/>
      <c r="B31" s="90"/>
      <c r="C31" s="91" t="s">
        <v>177</v>
      </c>
      <c r="D31" s="85" t="s">
        <v>178</v>
      </c>
      <c r="E31" s="92" t="s">
        <v>179</v>
      </c>
      <c r="F31" s="92" t="s">
        <v>3</v>
      </c>
      <c r="G31" s="50"/>
      <c r="H31" s="97">
        <v>34000000</v>
      </c>
      <c r="I31" s="36">
        <f t="shared" si="0"/>
        <v>37400000</v>
      </c>
      <c r="J31" s="36">
        <f t="shared" si="1"/>
        <v>40800000</v>
      </c>
      <c r="K31" s="36">
        <f t="shared" si="2"/>
        <v>44200000</v>
      </c>
    </row>
    <row r="32" spans="1:11" s="4" customFormat="1" ht="80.5">
      <c r="A32" s="89"/>
      <c r="B32" s="90"/>
      <c r="C32" s="91" t="s">
        <v>211</v>
      </c>
      <c r="D32" s="85" t="s">
        <v>215</v>
      </c>
      <c r="E32" s="92" t="s">
        <v>179</v>
      </c>
      <c r="F32" s="92" t="s">
        <v>3</v>
      </c>
      <c r="G32" s="50"/>
      <c r="H32" s="97">
        <v>19250000</v>
      </c>
      <c r="I32" s="93">
        <f t="shared" si="0"/>
        <v>21175000</v>
      </c>
      <c r="J32" s="93">
        <f t="shared" si="1"/>
        <v>23100000</v>
      </c>
      <c r="K32" s="93">
        <f t="shared" si="2"/>
        <v>25025000</v>
      </c>
    </row>
    <row r="33" spans="1:14" s="4" customFormat="1" ht="115">
      <c r="A33" s="89"/>
      <c r="B33" s="90"/>
      <c r="C33" s="91" t="s">
        <v>212</v>
      </c>
      <c r="D33" s="85" t="s">
        <v>214</v>
      </c>
      <c r="E33" s="92" t="s">
        <v>179</v>
      </c>
      <c r="F33" s="92" t="s">
        <v>3</v>
      </c>
      <c r="G33" s="50"/>
      <c r="H33" s="97">
        <v>25000000</v>
      </c>
      <c r="I33" s="93">
        <f t="shared" si="0"/>
        <v>27500000.000000004</v>
      </c>
      <c r="J33" s="93">
        <f t="shared" si="1"/>
        <v>30000000</v>
      </c>
      <c r="K33" s="93">
        <f t="shared" si="2"/>
        <v>32500000</v>
      </c>
    </row>
    <row r="34" spans="1:14" s="4" customFormat="1" ht="138">
      <c r="A34" s="89"/>
      <c r="B34" s="90"/>
      <c r="C34" s="91" t="s">
        <v>213</v>
      </c>
      <c r="D34" s="85" t="s">
        <v>216</v>
      </c>
      <c r="E34" s="92" t="s">
        <v>179</v>
      </c>
      <c r="F34" s="92" t="s">
        <v>3</v>
      </c>
      <c r="G34" s="50"/>
      <c r="H34" s="97">
        <v>60000000</v>
      </c>
      <c r="I34" s="93">
        <f t="shared" si="0"/>
        <v>66000000.000000007</v>
      </c>
      <c r="J34" s="93">
        <f t="shared" si="1"/>
        <v>72000000</v>
      </c>
      <c r="K34" s="93">
        <f t="shared" si="2"/>
        <v>78000000</v>
      </c>
    </row>
    <row r="35" spans="1:14" ht="32.5">
      <c r="A35" s="39"/>
      <c r="B35" s="210" t="s">
        <v>287</v>
      </c>
      <c r="C35" s="211"/>
      <c r="D35" s="211"/>
      <c r="E35" s="212"/>
      <c r="F35" s="48"/>
      <c r="G35" s="50"/>
      <c r="H35" s="97"/>
      <c r="I35" s="36">
        <f t="shared" ref="I35:I162" si="3">H35*1.1</f>
        <v>0</v>
      </c>
      <c r="J35" s="36">
        <f t="shared" ref="J35" si="4">H35*1.1</f>
        <v>0</v>
      </c>
      <c r="K35" s="36">
        <f>H35*1.3</f>
        <v>0</v>
      </c>
    </row>
    <row r="36" spans="1:14" ht="184">
      <c r="A36" s="39"/>
      <c r="B36" s="199" t="s">
        <v>270</v>
      </c>
      <c r="C36" s="141" t="s">
        <v>224</v>
      </c>
      <c r="D36" s="142" t="s">
        <v>285</v>
      </c>
      <c r="E36" s="92" t="s">
        <v>9</v>
      </c>
      <c r="F36" s="143" t="s">
        <v>3</v>
      </c>
      <c r="G36" s="49"/>
      <c r="H36" s="98">
        <v>26500000</v>
      </c>
      <c r="I36" s="36">
        <f t="shared" si="3"/>
        <v>29150000.000000004</v>
      </c>
      <c r="J36" s="36">
        <f t="shared" ref="J36:J45" si="5">H36*1.2</f>
        <v>31800000</v>
      </c>
      <c r="K36" s="36">
        <f t="shared" si="2"/>
        <v>34450000</v>
      </c>
    </row>
    <row r="37" spans="1:14" ht="184">
      <c r="A37" s="39"/>
      <c r="B37" s="201"/>
      <c r="C37" s="141" t="s">
        <v>223</v>
      </c>
      <c r="D37" s="142" t="s">
        <v>284</v>
      </c>
      <c r="E37" s="92" t="s">
        <v>9</v>
      </c>
      <c r="F37" s="143" t="s">
        <v>3</v>
      </c>
      <c r="G37" s="50"/>
      <c r="H37" s="97">
        <v>16000000</v>
      </c>
      <c r="I37" s="36">
        <f t="shared" si="3"/>
        <v>17600000</v>
      </c>
      <c r="J37" s="36">
        <f t="shared" si="5"/>
        <v>19200000</v>
      </c>
      <c r="K37" s="36">
        <f t="shared" si="2"/>
        <v>20800000</v>
      </c>
    </row>
    <row r="38" spans="1:14" ht="115">
      <c r="A38" s="39"/>
      <c r="B38" s="195" t="s">
        <v>271</v>
      </c>
      <c r="C38" s="141" t="s">
        <v>225</v>
      </c>
      <c r="D38" s="144" t="s">
        <v>165</v>
      </c>
      <c r="E38" s="92" t="s">
        <v>9</v>
      </c>
      <c r="F38" s="143" t="s">
        <v>3</v>
      </c>
      <c r="G38" s="50"/>
      <c r="H38" s="97">
        <v>88000000</v>
      </c>
      <c r="I38" s="36">
        <f t="shared" si="3"/>
        <v>96800000.000000015</v>
      </c>
      <c r="J38" s="36">
        <f t="shared" si="5"/>
        <v>105600000</v>
      </c>
      <c r="K38" s="36">
        <f t="shared" si="2"/>
        <v>114400000</v>
      </c>
    </row>
    <row r="39" spans="1:14" ht="115">
      <c r="A39" s="39"/>
      <c r="B39" s="196"/>
      <c r="C39" s="141" t="s">
        <v>226</v>
      </c>
      <c r="D39" s="144" t="s">
        <v>166</v>
      </c>
      <c r="E39" s="92" t="s">
        <v>9</v>
      </c>
      <c r="F39" s="143"/>
      <c r="G39" s="50"/>
      <c r="H39" s="99">
        <v>100000000</v>
      </c>
      <c r="I39" s="36">
        <f t="shared" si="3"/>
        <v>110000000.00000001</v>
      </c>
      <c r="J39" s="36">
        <f t="shared" si="5"/>
        <v>120000000</v>
      </c>
      <c r="K39" s="36">
        <f t="shared" si="2"/>
        <v>130000000</v>
      </c>
    </row>
    <row r="40" spans="1:14" ht="37.5">
      <c r="A40" s="39"/>
      <c r="B40" s="202" t="s">
        <v>275</v>
      </c>
      <c r="C40" s="203"/>
      <c r="D40" s="203"/>
      <c r="E40" s="203"/>
      <c r="F40" s="203"/>
      <c r="G40" s="204"/>
      <c r="H40" s="159"/>
      <c r="I40" s="145"/>
      <c r="J40" s="145"/>
      <c r="K40" s="145"/>
    </row>
    <row r="41" spans="1:14" ht="103.5">
      <c r="A41" s="39"/>
      <c r="B41" s="199" t="s">
        <v>273</v>
      </c>
      <c r="C41" s="141" t="s">
        <v>133</v>
      </c>
      <c r="D41" s="144" t="s">
        <v>208</v>
      </c>
      <c r="E41" s="51" t="s">
        <v>281</v>
      </c>
      <c r="F41" s="143" t="s">
        <v>3</v>
      </c>
      <c r="G41" s="50"/>
      <c r="H41" s="100">
        <v>17000000</v>
      </c>
      <c r="I41" s="36">
        <f t="shared" si="3"/>
        <v>18700000</v>
      </c>
      <c r="J41" s="36">
        <f t="shared" si="5"/>
        <v>20400000</v>
      </c>
      <c r="K41" s="36">
        <f t="shared" si="2"/>
        <v>22100000</v>
      </c>
    </row>
    <row r="42" spans="1:14" ht="103.5">
      <c r="A42" s="39"/>
      <c r="B42" s="200"/>
      <c r="C42" s="141" t="s">
        <v>134</v>
      </c>
      <c r="D42" s="144" t="s">
        <v>207</v>
      </c>
      <c r="E42" s="51" t="s">
        <v>281</v>
      </c>
      <c r="F42" s="143" t="s">
        <v>3</v>
      </c>
      <c r="G42" s="50"/>
      <c r="H42" s="97">
        <v>33500000</v>
      </c>
      <c r="I42" s="36">
        <f t="shared" si="3"/>
        <v>36850000</v>
      </c>
      <c r="J42" s="36">
        <f t="shared" si="5"/>
        <v>40200000</v>
      </c>
      <c r="K42" s="36">
        <f t="shared" si="2"/>
        <v>43550000</v>
      </c>
    </row>
    <row r="43" spans="1:14" ht="149.5">
      <c r="A43" s="39"/>
      <c r="B43" s="201"/>
      <c r="C43" s="141" t="s">
        <v>258</v>
      </c>
      <c r="D43" s="144" t="s">
        <v>259</v>
      </c>
      <c r="E43" s="51" t="s">
        <v>281</v>
      </c>
      <c r="F43" s="143" t="s">
        <v>3</v>
      </c>
      <c r="G43" s="50"/>
      <c r="H43" s="97">
        <v>38000000</v>
      </c>
      <c r="I43" s="36">
        <f t="shared" ref="I43:I45" si="6">H43*1.1</f>
        <v>41800000</v>
      </c>
      <c r="J43" s="36">
        <f t="shared" si="5"/>
        <v>45600000</v>
      </c>
      <c r="K43" s="36">
        <f t="shared" si="2"/>
        <v>49400000</v>
      </c>
      <c r="N43" s="3" t="s">
        <v>59</v>
      </c>
    </row>
    <row r="44" spans="1:14" ht="46">
      <c r="A44" s="39"/>
      <c r="B44" s="197" t="s">
        <v>272</v>
      </c>
      <c r="C44" s="141" t="s">
        <v>363</v>
      </c>
      <c r="D44" s="144" t="s">
        <v>280</v>
      </c>
      <c r="E44" s="51" t="s">
        <v>281</v>
      </c>
      <c r="F44" s="143" t="s">
        <v>3</v>
      </c>
      <c r="G44" s="50"/>
      <c r="H44" s="97">
        <v>16000000</v>
      </c>
      <c r="I44" s="36">
        <f t="shared" si="6"/>
        <v>17600000</v>
      </c>
      <c r="J44" s="36">
        <f t="shared" si="5"/>
        <v>19200000</v>
      </c>
      <c r="K44" s="36">
        <f t="shared" si="2"/>
        <v>20800000</v>
      </c>
    </row>
    <row r="45" spans="1:14" ht="103.5">
      <c r="A45" s="39"/>
      <c r="B45" s="198"/>
      <c r="C45" s="141" t="s">
        <v>364</v>
      </c>
      <c r="D45" s="144" t="s">
        <v>155</v>
      </c>
      <c r="E45" s="51" t="s">
        <v>281</v>
      </c>
      <c r="F45" s="143" t="s">
        <v>3</v>
      </c>
      <c r="G45" s="50"/>
      <c r="H45" s="97">
        <v>17800000</v>
      </c>
      <c r="I45" s="36">
        <f t="shared" si="6"/>
        <v>19580000</v>
      </c>
      <c r="J45" s="36">
        <f t="shared" si="5"/>
        <v>21360000</v>
      </c>
      <c r="K45" s="36">
        <f t="shared" si="2"/>
        <v>23140000</v>
      </c>
    </row>
    <row r="46" spans="1:14" ht="16">
      <c r="A46" s="39"/>
      <c r="B46" s="163"/>
      <c r="C46" s="141"/>
      <c r="D46" s="142"/>
      <c r="E46" s="51"/>
      <c r="F46" s="92"/>
      <c r="G46" s="50"/>
      <c r="H46" s="97"/>
      <c r="I46" s="36"/>
      <c r="J46" s="36"/>
      <c r="K46" s="36"/>
    </row>
    <row r="47" spans="1:14" ht="16">
      <c r="A47" s="39"/>
      <c r="B47" s="163"/>
      <c r="C47" s="141"/>
      <c r="D47" s="142"/>
      <c r="E47" s="51"/>
      <c r="F47" s="92"/>
      <c r="G47" s="50"/>
      <c r="H47" s="97"/>
      <c r="I47" s="36"/>
      <c r="J47" s="36"/>
      <c r="K47" s="36"/>
    </row>
    <row r="48" spans="1:14" ht="16">
      <c r="A48" s="39"/>
      <c r="B48" s="163"/>
      <c r="C48" s="141"/>
      <c r="D48" s="142"/>
      <c r="E48" s="51"/>
      <c r="F48" s="92"/>
      <c r="G48" s="50"/>
      <c r="H48" s="97"/>
      <c r="I48" s="36"/>
      <c r="J48" s="36"/>
      <c r="K48" s="36"/>
    </row>
    <row r="49" spans="1:11" ht="37.5">
      <c r="A49" s="39"/>
      <c r="B49" s="183" t="s">
        <v>276</v>
      </c>
      <c r="C49" s="184"/>
      <c r="D49" s="184"/>
      <c r="E49" s="184"/>
      <c r="F49" s="184"/>
      <c r="G49" s="184"/>
      <c r="H49" s="184"/>
      <c r="I49" s="184"/>
      <c r="J49" s="184"/>
      <c r="K49" s="185"/>
    </row>
    <row r="50" spans="1:11" s="13" customFormat="1" ht="80.5">
      <c r="A50" s="39"/>
      <c r="B50" s="43">
        <v>1</v>
      </c>
      <c r="C50" s="34" t="s">
        <v>10</v>
      </c>
      <c r="D50" s="52" t="s">
        <v>98</v>
      </c>
      <c r="E50" s="53" t="s">
        <v>283</v>
      </c>
      <c r="F50" s="54" t="s">
        <v>3</v>
      </c>
      <c r="G50" s="35"/>
      <c r="H50" s="101">
        <v>7140000</v>
      </c>
      <c r="I50" s="36">
        <f t="shared" si="3"/>
        <v>7854000.0000000009</v>
      </c>
      <c r="J50" s="36">
        <f>H50*1.2</f>
        <v>8568000</v>
      </c>
      <c r="K50" s="36">
        <f t="shared" si="2"/>
        <v>9282000</v>
      </c>
    </row>
    <row r="51" spans="1:11" s="13" customFormat="1" ht="80.5">
      <c r="A51" s="39"/>
      <c r="B51" s="43">
        <f t="shared" ref="B51:B159" si="7">B50+1</f>
        <v>2</v>
      </c>
      <c r="C51" s="34" t="s">
        <v>11</v>
      </c>
      <c r="D51" s="52" t="s">
        <v>99</v>
      </c>
      <c r="E51" s="53" t="s">
        <v>283</v>
      </c>
      <c r="F51" s="54" t="s">
        <v>3</v>
      </c>
      <c r="G51" s="35"/>
      <c r="H51" s="101">
        <v>8670000</v>
      </c>
      <c r="I51" s="36">
        <f t="shared" si="3"/>
        <v>9537000</v>
      </c>
      <c r="J51" s="36">
        <f t="shared" ref="J51:J70" si="8">H51*1.2</f>
        <v>10404000</v>
      </c>
      <c r="K51" s="36">
        <f t="shared" ref="K51:K162" si="9">H51*1.3</f>
        <v>11271000</v>
      </c>
    </row>
    <row r="52" spans="1:11" ht="92">
      <c r="A52" s="39"/>
      <c r="B52" s="43">
        <f t="shared" si="7"/>
        <v>3</v>
      </c>
      <c r="C52" s="34" t="s">
        <v>12</v>
      </c>
      <c r="D52" s="72" t="s">
        <v>120</v>
      </c>
      <c r="E52" s="53" t="s">
        <v>283</v>
      </c>
      <c r="F52" s="54" t="s">
        <v>3</v>
      </c>
      <c r="G52" s="35"/>
      <c r="H52" s="101">
        <v>13980000</v>
      </c>
      <c r="I52" s="36">
        <f t="shared" si="3"/>
        <v>15378000.000000002</v>
      </c>
      <c r="J52" s="36">
        <f t="shared" si="8"/>
        <v>16776000</v>
      </c>
      <c r="K52" s="36">
        <f t="shared" si="9"/>
        <v>18174000</v>
      </c>
    </row>
    <row r="53" spans="1:11" s="13" customFormat="1" ht="80.5">
      <c r="A53" s="39"/>
      <c r="B53" s="43">
        <f t="shared" si="7"/>
        <v>4</v>
      </c>
      <c r="C53" s="34" t="s">
        <v>13</v>
      </c>
      <c r="D53" s="52" t="s">
        <v>121</v>
      </c>
      <c r="E53" s="53" t="s">
        <v>283</v>
      </c>
      <c r="F53" s="54" t="s">
        <v>3</v>
      </c>
      <c r="G53" s="35"/>
      <c r="H53" s="101">
        <v>12240000</v>
      </c>
      <c r="I53" s="36">
        <f t="shared" si="3"/>
        <v>13464000.000000002</v>
      </c>
      <c r="J53" s="36">
        <f t="shared" si="8"/>
        <v>14688000</v>
      </c>
      <c r="K53" s="36">
        <f t="shared" si="9"/>
        <v>15912000</v>
      </c>
    </row>
    <row r="54" spans="1:11" ht="80.5">
      <c r="A54" s="39"/>
      <c r="B54" s="43">
        <f t="shared" si="7"/>
        <v>5</v>
      </c>
      <c r="C54" s="34" t="s">
        <v>14</v>
      </c>
      <c r="D54" s="55" t="s">
        <v>122</v>
      </c>
      <c r="E54" s="53" t="s">
        <v>283</v>
      </c>
      <c r="F54" s="54" t="s">
        <v>3</v>
      </c>
      <c r="G54" s="35"/>
      <c r="H54" s="101">
        <v>17900000</v>
      </c>
      <c r="I54" s="36">
        <f t="shared" si="3"/>
        <v>19690000</v>
      </c>
      <c r="J54" s="36">
        <f t="shared" si="8"/>
        <v>21480000</v>
      </c>
      <c r="K54" s="36">
        <f t="shared" si="9"/>
        <v>23270000</v>
      </c>
    </row>
    <row r="55" spans="1:11" s="13" customFormat="1" ht="80.5">
      <c r="A55" s="39"/>
      <c r="B55" s="43">
        <f t="shared" si="7"/>
        <v>6</v>
      </c>
      <c r="C55" s="34" t="s">
        <v>15</v>
      </c>
      <c r="D55" s="56" t="s">
        <v>123</v>
      </c>
      <c r="E55" s="53" t="s">
        <v>283</v>
      </c>
      <c r="F55" s="54" t="s">
        <v>3</v>
      </c>
      <c r="G55" s="35"/>
      <c r="H55" s="101">
        <v>19700000</v>
      </c>
      <c r="I55" s="36">
        <f t="shared" si="3"/>
        <v>21670000</v>
      </c>
      <c r="J55" s="36">
        <f t="shared" si="8"/>
        <v>23640000</v>
      </c>
      <c r="K55" s="36">
        <f t="shared" si="9"/>
        <v>25610000</v>
      </c>
    </row>
    <row r="56" spans="1:11" s="14" customFormat="1" ht="80.5">
      <c r="A56" s="39"/>
      <c r="B56" s="43">
        <f t="shared" si="7"/>
        <v>7</v>
      </c>
      <c r="C56" s="34" t="s">
        <v>16</v>
      </c>
      <c r="D56" s="56" t="s">
        <v>124</v>
      </c>
      <c r="E56" s="53" t="s">
        <v>283</v>
      </c>
      <c r="F56" s="54" t="s">
        <v>3</v>
      </c>
      <c r="G56" s="35"/>
      <c r="H56" s="101">
        <v>28700000</v>
      </c>
      <c r="I56" s="36">
        <f t="shared" si="3"/>
        <v>31570000.000000004</v>
      </c>
      <c r="J56" s="36">
        <f t="shared" si="8"/>
        <v>34440000</v>
      </c>
      <c r="K56" s="36">
        <f t="shared" si="9"/>
        <v>37310000</v>
      </c>
    </row>
    <row r="57" spans="1:11" s="5" customFormat="1" ht="92">
      <c r="A57" s="39"/>
      <c r="B57" s="43">
        <f t="shared" si="7"/>
        <v>8</v>
      </c>
      <c r="C57" s="34" t="s">
        <v>17</v>
      </c>
      <c r="D57" s="55" t="s">
        <v>125</v>
      </c>
      <c r="E57" s="53" t="s">
        <v>283</v>
      </c>
      <c r="F57" s="54" t="s">
        <v>3</v>
      </c>
      <c r="G57" s="35"/>
      <c r="H57" s="101">
        <v>36000000</v>
      </c>
      <c r="I57" s="36">
        <f t="shared" si="3"/>
        <v>39600000</v>
      </c>
      <c r="J57" s="36">
        <f t="shared" si="8"/>
        <v>43200000</v>
      </c>
      <c r="K57" s="36">
        <f t="shared" si="9"/>
        <v>46800000</v>
      </c>
    </row>
    <row r="58" spans="1:11" s="5" customFormat="1" ht="92">
      <c r="A58" s="33"/>
      <c r="B58" s="43">
        <f t="shared" si="7"/>
        <v>9</v>
      </c>
      <c r="C58" s="34" t="s">
        <v>70</v>
      </c>
      <c r="D58" s="55" t="s">
        <v>126</v>
      </c>
      <c r="E58" s="53" t="s">
        <v>283</v>
      </c>
      <c r="F58" s="54" t="s">
        <v>3</v>
      </c>
      <c r="G58" s="35"/>
      <c r="H58" s="101">
        <v>45900000</v>
      </c>
      <c r="I58" s="36">
        <f t="shared" si="3"/>
        <v>50490000.000000007</v>
      </c>
      <c r="J58" s="36">
        <f t="shared" si="8"/>
        <v>55080000</v>
      </c>
      <c r="K58" s="36">
        <f t="shared" si="9"/>
        <v>59670000</v>
      </c>
    </row>
    <row r="59" spans="1:11" ht="69">
      <c r="A59" s="57"/>
      <c r="B59" s="43">
        <f t="shared" si="7"/>
        <v>10</v>
      </c>
      <c r="C59" s="34" t="s">
        <v>18</v>
      </c>
      <c r="D59" s="84" t="s">
        <v>127</v>
      </c>
      <c r="E59" s="53" t="s">
        <v>283</v>
      </c>
      <c r="F59" s="54" t="s">
        <v>3</v>
      </c>
      <c r="G59" s="35"/>
      <c r="H59" s="106">
        <v>53000000</v>
      </c>
      <c r="I59" s="36">
        <f t="shared" si="3"/>
        <v>58300000.000000007</v>
      </c>
      <c r="J59" s="36">
        <f t="shared" si="8"/>
        <v>63600000</v>
      </c>
      <c r="K59" s="36">
        <f t="shared" si="9"/>
        <v>68900000</v>
      </c>
    </row>
    <row r="60" spans="1:11" ht="69">
      <c r="A60" s="57"/>
      <c r="B60" s="43">
        <f t="shared" si="7"/>
        <v>11</v>
      </c>
      <c r="C60" s="34" t="s">
        <v>209</v>
      </c>
      <c r="D60" s="84" t="s">
        <v>210</v>
      </c>
      <c r="E60" s="53" t="s">
        <v>283</v>
      </c>
      <c r="F60" s="54" t="s">
        <v>3</v>
      </c>
      <c r="G60" s="35"/>
      <c r="H60" s="102">
        <v>60000000</v>
      </c>
      <c r="I60" s="36">
        <f t="shared" si="3"/>
        <v>66000000.000000007</v>
      </c>
      <c r="J60" s="36">
        <f t="shared" si="8"/>
        <v>72000000</v>
      </c>
      <c r="K60" s="36">
        <f t="shared" si="9"/>
        <v>78000000</v>
      </c>
    </row>
    <row r="61" spans="1:11" ht="103.5">
      <c r="A61" s="58"/>
      <c r="B61" s="43">
        <f t="shared" si="7"/>
        <v>12</v>
      </c>
      <c r="C61" s="34" t="s">
        <v>19</v>
      </c>
      <c r="D61" s="52" t="s">
        <v>128</v>
      </c>
      <c r="E61" s="53" t="s">
        <v>283</v>
      </c>
      <c r="F61" s="54" t="s">
        <v>3</v>
      </c>
      <c r="G61" s="59"/>
      <c r="H61" s="103">
        <v>80000000</v>
      </c>
      <c r="I61" s="36">
        <f t="shared" si="3"/>
        <v>88000000</v>
      </c>
      <c r="J61" s="36">
        <f t="shared" si="8"/>
        <v>96000000</v>
      </c>
      <c r="K61" s="36">
        <f t="shared" si="9"/>
        <v>104000000</v>
      </c>
    </row>
    <row r="62" spans="1:11" ht="115">
      <c r="A62" s="58"/>
      <c r="B62" s="43">
        <f t="shared" si="7"/>
        <v>13</v>
      </c>
      <c r="C62" s="34" t="s">
        <v>360</v>
      </c>
      <c r="D62" s="52" t="s">
        <v>361</v>
      </c>
      <c r="E62" s="53" t="s">
        <v>283</v>
      </c>
      <c r="F62" s="54" t="s">
        <v>3</v>
      </c>
      <c r="G62" s="59"/>
      <c r="H62" s="103">
        <v>90000000</v>
      </c>
      <c r="I62" s="36">
        <f t="shared" si="3"/>
        <v>99000000.000000015</v>
      </c>
      <c r="J62" s="36">
        <f t="shared" si="8"/>
        <v>108000000</v>
      </c>
      <c r="K62" s="36">
        <f t="shared" si="9"/>
        <v>117000000</v>
      </c>
    </row>
    <row r="63" spans="1:11" ht="23">
      <c r="A63" s="58"/>
      <c r="B63" s="43">
        <f t="shared" si="7"/>
        <v>14</v>
      </c>
      <c r="C63" s="34" t="s">
        <v>20</v>
      </c>
      <c r="D63" s="60" t="s">
        <v>129</v>
      </c>
      <c r="E63" s="53" t="s">
        <v>9</v>
      </c>
      <c r="F63" s="54" t="s">
        <v>3</v>
      </c>
      <c r="G63" s="34"/>
      <c r="H63" s="101">
        <v>570000</v>
      </c>
      <c r="I63" s="36">
        <f t="shared" si="3"/>
        <v>627000</v>
      </c>
      <c r="J63" s="36">
        <f t="shared" si="8"/>
        <v>684000</v>
      </c>
      <c r="K63" s="36">
        <f t="shared" si="9"/>
        <v>741000</v>
      </c>
    </row>
    <row r="64" spans="1:11" ht="23">
      <c r="A64" s="58"/>
      <c r="B64" s="43">
        <f t="shared" si="7"/>
        <v>15</v>
      </c>
      <c r="C64" s="34" t="s">
        <v>45</v>
      </c>
      <c r="D64" s="52" t="s">
        <v>303</v>
      </c>
      <c r="E64" s="53" t="s">
        <v>302</v>
      </c>
      <c r="F64" s="54" t="s">
        <v>3</v>
      </c>
      <c r="G64" s="34"/>
      <c r="H64" s="101">
        <v>3620000</v>
      </c>
      <c r="I64" s="36">
        <f t="shared" si="3"/>
        <v>3982000.0000000005</v>
      </c>
      <c r="J64" s="36">
        <f t="shared" si="8"/>
        <v>4344000</v>
      </c>
      <c r="K64" s="36">
        <f t="shared" si="9"/>
        <v>4706000</v>
      </c>
    </row>
    <row r="65" spans="1:11" ht="23">
      <c r="A65" s="58"/>
      <c r="B65" s="43">
        <f t="shared" si="7"/>
        <v>16</v>
      </c>
      <c r="C65" s="34" t="s">
        <v>21</v>
      </c>
      <c r="D65" s="61" t="s">
        <v>30</v>
      </c>
      <c r="E65" s="53" t="s">
        <v>9</v>
      </c>
      <c r="F65" s="54" t="s">
        <v>3</v>
      </c>
      <c r="G65" s="34"/>
      <c r="H65" s="104">
        <v>11850000</v>
      </c>
      <c r="I65" s="36">
        <f t="shared" si="3"/>
        <v>13035000.000000002</v>
      </c>
      <c r="J65" s="36">
        <f t="shared" si="8"/>
        <v>14220000</v>
      </c>
      <c r="K65" s="36">
        <f t="shared" si="9"/>
        <v>15405000</v>
      </c>
    </row>
    <row r="66" spans="1:11" ht="23">
      <c r="A66" s="58"/>
      <c r="B66" s="43">
        <f t="shared" si="7"/>
        <v>17</v>
      </c>
      <c r="C66" s="34" t="s">
        <v>22</v>
      </c>
      <c r="D66" s="61" t="s">
        <v>31</v>
      </c>
      <c r="E66" s="53" t="s">
        <v>9</v>
      </c>
      <c r="F66" s="54" t="s">
        <v>3</v>
      </c>
      <c r="G66" s="34"/>
      <c r="H66" s="101">
        <v>17250000</v>
      </c>
      <c r="I66" s="36">
        <f t="shared" si="3"/>
        <v>18975000</v>
      </c>
      <c r="J66" s="36">
        <f t="shared" si="8"/>
        <v>20700000</v>
      </c>
      <c r="K66" s="36">
        <f t="shared" si="9"/>
        <v>22425000</v>
      </c>
    </row>
    <row r="67" spans="1:11" ht="23">
      <c r="A67" s="58"/>
      <c r="B67" s="43">
        <f t="shared" si="7"/>
        <v>18</v>
      </c>
      <c r="C67" s="34" t="s">
        <v>87</v>
      </c>
      <c r="D67" s="62" t="s">
        <v>23</v>
      </c>
      <c r="E67" s="53" t="s">
        <v>304</v>
      </c>
      <c r="F67" s="54" t="s">
        <v>3</v>
      </c>
      <c r="G67" s="34"/>
      <c r="H67" s="105">
        <v>310000</v>
      </c>
      <c r="I67" s="36">
        <f t="shared" si="3"/>
        <v>341000</v>
      </c>
      <c r="J67" s="36">
        <f t="shared" si="8"/>
        <v>372000</v>
      </c>
      <c r="K67" s="36">
        <f t="shared" si="9"/>
        <v>403000</v>
      </c>
    </row>
    <row r="68" spans="1:11" ht="16">
      <c r="A68" s="58"/>
      <c r="B68" s="43"/>
      <c r="C68" s="34" t="s">
        <v>52</v>
      </c>
      <c r="D68" s="62" t="s">
        <v>101</v>
      </c>
      <c r="E68" s="53" t="s">
        <v>304</v>
      </c>
      <c r="F68" s="54" t="s">
        <v>3</v>
      </c>
      <c r="G68" s="34"/>
      <c r="H68" s="105">
        <v>820000</v>
      </c>
      <c r="I68" s="36">
        <f t="shared" si="3"/>
        <v>902000.00000000012</v>
      </c>
      <c r="J68" s="36">
        <f t="shared" si="8"/>
        <v>984000</v>
      </c>
      <c r="K68" s="36">
        <f t="shared" si="9"/>
        <v>1066000</v>
      </c>
    </row>
    <row r="69" spans="1:11" ht="16">
      <c r="A69" s="58"/>
      <c r="B69" s="43">
        <f>B67+1</f>
        <v>19</v>
      </c>
      <c r="C69" s="37" t="s">
        <v>100</v>
      </c>
      <c r="D69" s="62" t="s">
        <v>74</v>
      </c>
      <c r="E69" s="53" t="s">
        <v>9</v>
      </c>
      <c r="F69" s="54" t="s">
        <v>3</v>
      </c>
      <c r="G69" s="34"/>
      <c r="H69" s="105">
        <v>5400000</v>
      </c>
      <c r="I69" s="36">
        <f t="shared" si="3"/>
        <v>5940000.0000000009</v>
      </c>
      <c r="J69" s="36">
        <f t="shared" si="8"/>
        <v>6480000</v>
      </c>
      <c r="K69" s="36">
        <f t="shared" si="9"/>
        <v>7020000</v>
      </c>
    </row>
    <row r="70" spans="1:11" ht="16">
      <c r="A70" s="58"/>
      <c r="B70" s="43">
        <f t="shared" si="7"/>
        <v>20</v>
      </c>
      <c r="C70" s="37" t="s">
        <v>75</v>
      </c>
      <c r="D70" s="62" t="s">
        <v>76</v>
      </c>
      <c r="E70" s="53" t="s">
        <v>9</v>
      </c>
      <c r="F70" s="54" t="s">
        <v>3</v>
      </c>
      <c r="G70" s="34"/>
      <c r="H70" s="105">
        <v>665000</v>
      </c>
      <c r="I70" s="36">
        <f t="shared" si="3"/>
        <v>731500.00000000012</v>
      </c>
      <c r="J70" s="36">
        <f t="shared" si="8"/>
        <v>798000</v>
      </c>
      <c r="K70" s="36">
        <f t="shared" si="9"/>
        <v>864500</v>
      </c>
    </row>
    <row r="71" spans="1:11" ht="57.5">
      <c r="A71" s="111" t="s">
        <v>91</v>
      </c>
      <c r="B71" s="214" t="s">
        <v>277</v>
      </c>
      <c r="C71" s="214"/>
      <c r="D71" s="214"/>
      <c r="E71" s="146"/>
      <c r="F71" s="146"/>
      <c r="G71" s="146"/>
      <c r="H71" s="146"/>
      <c r="I71" s="147"/>
      <c r="J71" s="148"/>
      <c r="K71" s="148"/>
    </row>
    <row r="72" spans="1:11" ht="115">
      <c r="A72" s="58"/>
      <c r="B72" s="43">
        <f>B70+1</f>
        <v>21</v>
      </c>
      <c r="C72" s="63" t="s">
        <v>142</v>
      </c>
      <c r="D72" s="64" t="s">
        <v>24</v>
      </c>
      <c r="E72" s="53" t="s">
        <v>9</v>
      </c>
      <c r="F72" s="54" t="s">
        <v>3</v>
      </c>
      <c r="G72" s="34"/>
      <c r="H72" s="94">
        <v>4284000</v>
      </c>
      <c r="I72" s="36">
        <f t="shared" si="3"/>
        <v>4712400</v>
      </c>
      <c r="J72" s="36">
        <f>H72*1.2</f>
        <v>5140800</v>
      </c>
      <c r="K72" s="36">
        <f t="shared" si="9"/>
        <v>5569200</v>
      </c>
    </row>
    <row r="73" spans="1:11" ht="92">
      <c r="A73" s="58"/>
      <c r="B73" s="43">
        <f>B72+1</f>
        <v>22</v>
      </c>
      <c r="C73" s="63" t="s">
        <v>25</v>
      </c>
      <c r="D73" s="65" t="s">
        <v>130</v>
      </c>
      <c r="E73" s="53" t="s">
        <v>9</v>
      </c>
      <c r="F73" s="54" t="s">
        <v>3</v>
      </c>
      <c r="G73" s="34"/>
      <c r="H73" s="94">
        <v>5400000</v>
      </c>
      <c r="I73" s="36">
        <f t="shared" si="3"/>
        <v>5940000.0000000009</v>
      </c>
      <c r="J73" s="36">
        <f t="shared" ref="J73:J77" si="10">H73*1.2</f>
        <v>6480000</v>
      </c>
      <c r="K73" s="36">
        <f t="shared" si="9"/>
        <v>7020000</v>
      </c>
    </row>
    <row r="74" spans="1:11" ht="115">
      <c r="A74" s="58"/>
      <c r="B74" s="43">
        <f t="shared" si="7"/>
        <v>23</v>
      </c>
      <c r="C74" s="63" t="s">
        <v>26</v>
      </c>
      <c r="D74" s="65" t="s">
        <v>131</v>
      </c>
      <c r="E74" s="53" t="s">
        <v>9</v>
      </c>
      <c r="F74" s="54" t="s">
        <v>3</v>
      </c>
      <c r="G74" s="34"/>
      <c r="H74" s="94">
        <v>5720000</v>
      </c>
      <c r="I74" s="36">
        <f t="shared" si="3"/>
        <v>6292000.0000000009</v>
      </c>
      <c r="J74" s="36">
        <f t="shared" si="10"/>
        <v>6864000</v>
      </c>
      <c r="K74" s="36">
        <f t="shared" si="9"/>
        <v>7436000</v>
      </c>
    </row>
    <row r="75" spans="1:11" ht="115">
      <c r="A75" s="58"/>
      <c r="B75" s="43">
        <f t="shared" si="7"/>
        <v>24</v>
      </c>
      <c r="C75" s="63" t="s">
        <v>27</v>
      </c>
      <c r="D75" s="65" t="s">
        <v>132</v>
      </c>
      <c r="E75" s="53" t="s">
        <v>9</v>
      </c>
      <c r="F75" s="54" t="s">
        <v>3</v>
      </c>
      <c r="G75" s="34"/>
      <c r="H75" s="94">
        <v>7040000</v>
      </c>
      <c r="I75" s="36">
        <f t="shared" si="3"/>
        <v>7744000.0000000009</v>
      </c>
      <c r="J75" s="36">
        <f t="shared" si="10"/>
        <v>8448000</v>
      </c>
      <c r="K75" s="36">
        <f t="shared" si="9"/>
        <v>9152000</v>
      </c>
    </row>
    <row r="76" spans="1:11" ht="115">
      <c r="A76" s="66"/>
      <c r="B76" s="43">
        <f t="shared" si="7"/>
        <v>25</v>
      </c>
      <c r="C76" s="63" t="s">
        <v>50</v>
      </c>
      <c r="D76" s="65" t="s">
        <v>51</v>
      </c>
      <c r="E76" s="53" t="s">
        <v>9</v>
      </c>
      <c r="F76" s="54" t="s">
        <v>3</v>
      </c>
      <c r="G76" s="34"/>
      <c r="H76" s="94">
        <v>8780000</v>
      </c>
      <c r="I76" s="36">
        <f t="shared" si="3"/>
        <v>9658000</v>
      </c>
      <c r="J76" s="36">
        <f t="shared" si="10"/>
        <v>10536000</v>
      </c>
      <c r="K76" s="36">
        <f t="shared" si="9"/>
        <v>11414000</v>
      </c>
    </row>
    <row r="77" spans="1:11" ht="115">
      <c r="A77" s="66"/>
      <c r="B77" s="43">
        <f t="shared" si="7"/>
        <v>26</v>
      </c>
      <c r="C77" s="63" t="s">
        <v>53</v>
      </c>
      <c r="D77" s="65" t="s">
        <v>54</v>
      </c>
      <c r="E77" s="53" t="s">
        <v>9</v>
      </c>
      <c r="F77" s="54" t="s">
        <v>3</v>
      </c>
      <c r="G77" s="34"/>
      <c r="H77" s="94">
        <v>9700000</v>
      </c>
      <c r="I77" s="36">
        <f t="shared" si="3"/>
        <v>10670000</v>
      </c>
      <c r="J77" s="36">
        <f t="shared" si="10"/>
        <v>11640000</v>
      </c>
      <c r="K77" s="36">
        <f t="shared" si="9"/>
        <v>12610000</v>
      </c>
    </row>
    <row r="78" spans="1:11" ht="32.5">
      <c r="A78" s="66"/>
      <c r="B78" s="215" t="s">
        <v>48</v>
      </c>
      <c r="C78" s="216"/>
      <c r="D78" s="216"/>
      <c r="E78" s="216"/>
      <c r="F78" s="112"/>
      <c r="G78" s="112"/>
      <c r="H78" s="112"/>
      <c r="I78" s="112"/>
      <c r="J78" s="128"/>
      <c r="K78" s="133"/>
    </row>
    <row r="79" spans="1:11" ht="59">
      <c r="A79" s="57"/>
      <c r="B79" s="187"/>
      <c r="C79" s="67" t="s">
        <v>46</v>
      </c>
      <c r="D79" s="68" t="s">
        <v>47</v>
      </c>
      <c r="E79" s="69" t="s">
        <v>48</v>
      </c>
      <c r="F79" s="70" t="s">
        <v>3</v>
      </c>
      <c r="G79" s="70"/>
      <c r="H79" s="106">
        <v>126500000</v>
      </c>
      <c r="I79" s="36">
        <f t="shared" ref="I79:I89" si="11">H79*1.1</f>
        <v>139150000</v>
      </c>
      <c r="J79" s="36">
        <f t="shared" ref="J79:J89" si="12">H79*1.2</f>
        <v>151800000</v>
      </c>
      <c r="K79" s="129">
        <f t="shared" ref="K79:K89" si="13">H79*1.3</f>
        <v>164450000</v>
      </c>
    </row>
    <row r="80" spans="1:11" ht="59">
      <c r="A80" s="57"/>
      <c r="B80" s="187"/>
      <c r="C80" s="67" t="s">
        <v>135</v>
      </c>
      <c r="D80" s="68" t="s">
        <v>136</v>
      </c>
      <c r="E80" s="69" t="s">
        <v>48</v>
      </c>
      <c r="F80" s="70" t="s">
        <v>3</v>
      </c>
      <c r="G80" s="70"/>
      <c r="H80" s="106">
        <v>147900000</v>
      </c>
      <c r="I80" s="36">
        <f t="shared" si="11"/>
        <v>162690000</v>
      </c>
      <c r="J80" s="36">
        <f t="shared" si="12"/>
        <v>177480000</v>
      </c>
      <c r="K80" s="129">
        <f t="shared" si="13"/>
        <v>192270000</v>
      </c>
    </row>
    <row r="81" spans="1:11" ht="44">
      <c r="A81" s="57"/>
      <c r="B81" s="187"/>
      <c r="C81" s="67" t="s">
        <v>49</v>
      </c>
      <c r="D81" s="71" t="s">
        <v>93</v>
      </c>
      <c r="E81" s="69" t="s">
        <v>48</v>
      </c>
      <c r="F81" s="70" t="s">
        <v>3</v>
      </c>
      <c r="G81" s="70"/>
      <c r="H81" s="106">
        <v>27540000</v>
      </c>
      <c r="I81" s="36">
        <f t="shared" si="11"/>
        <v>30294000.000000004</v>
      </c>
      <c r="J81" s="36">
        <f t="shared" si="12"/>
        <v>33048000</v>
      </c>
      <c r="K81" s="129">
        <f t="shared" si="13"/>
        <v>35802000</v>
      </c>
    </row>
    <row r="82" spans="1:11" ht="54.5">
      <c r="A82" s="57"/>
      <c r="B82" s="187"/>
      <c r="C82" s="67" t="s">
        <v>96</v>
      </c>
      <c r="D82" s="71" t="s">
        <v>97</v>
      </c>
      <c r="E82" s="69" t="s">
        <v>48</v>
      </c>
      <c r="F82" s="70" t="s">
        <v>3</v>
      </c>
      <c r="G82" s="70"/>
      <c r="H82" s="106">
        <v>53900000</v>
      </c>
      <c r="I82" s="36">
        <f t="shared" si="11"/>
        <v>59290000.000000007</v>
      </c>
      <c r="J82" s="36">
        <f t="shared" si="12"/>
        <v>64680000</v>
      </c>
      <c r="K82" s="134">
        <f t="shared" si="13"/>
        <v>70070000</v>
      </c>
    </row>
    <row r="83" spans="1:11" s="81" customFormat="1" ht="66.5">
      <c r="A83" s="75"/>
      <c r="B83" s="188"/>
      <c r="C83" s="76" t="s">
        <v>94</v>
      </c>
      <c r="D83" s="77" t="s">
        <v>95</v>
      </c>
      <c r="E83" s="78" t="s">
        <v>48</v>
      </c>
      <c r="F83" s="79" t="s">
        <v>3</v>
      </c>
      <c r="G83" s="79"/>
      <c r="H83" s="108">
        <v>63240000</v>
      </c>
      <c r="I83" s="80">
        <f>H83*1.1</f>
        <v>69564000</v>
      </c>
      <c r="J83" s="80">
        <f>H83*1.2</f>
        <v>75888000</v>
      </c>
      <c r="K83" s="135">
        <f>H83*1.3</f>
        <v>82212000</v>
      </c>
    </row>
    <row r="84" spans="1:11" s="81" customFormat="1" ht="86">
      <c r="A84" s="75"/>
      <c r="B84" s="173" t="s">
        <v>278</v>
      </c>
      <c r="C84" s="76" t="s">
        <v>365</v>
      </c>
      <c r="D84" s="71" t="s">
        <v>372</v>
      </c>
      <c r="E84" s="69" t="s">
        <v>370</v>
      </c>
      <c r="F84" s="70" t="s">
        <v>3</v>
      </c>
      <c r="G84" s="79"/>
      <c r="H84" s="108">
        <v>33000000</v>
      </c>
      <c r="I84" s="80">
        <f>H84*1.1</f>
        <v>36300000</v>
      </c>
      <c r="J84" s="80">
        <f>H84*1.2</f>
        <v>39600000</v>
      </c>
      <c r="K84" s="166">
        <f>H84*1.3</f>
        <v>42900000</v>
      </c>
    </row>
    <row r="85" spans="1:11" s="81" customFormat="1" ht="86">
      <c r="A85" s="75"/>
      <c r="B85" s="174"/>
      <c r="C85" s="76" t="s">
        <v>366</v>
      </c>
      <c r="D85" s="71" t="s">
        <v>368</v>
      </c>
      <c r="E85" s="69" t="s">
        <v>370</v>
      </c>
      <c r="F85" s="70" t="s">
        <v>3</v>
      </c>
      <c r="G85" s="79"/>
      <c r="H85" s="108">
        <v>28500000</v>
      </c>
      <c r="I85" s="80">
        <f t="shared" ref="I85:I86" si="14">H85*1.1</f>
        <v>31350000.000000004</v>
      </c>
      <c r="J85" s="80">
        <f t="shared" ref="J85:J86" si="15">H85*1.2</f>
        <v>34200000</v>
      </c>
      <c r="K85" s="166">
        <f t="shared" ref="K85:K86" si="16">H85*1.3</f>
        <v>37050000</v>
      </c>
    </row>
    <row r="86" spans="1:11" s="81" customFormat="1" ht="86">
      <c r="A86" s="75"/>
      <c r="B86" s="174"/>
      <c r="C86" s="76" t="s">
        <v>367</v>
      </c>
      <c r="D86" s="71" t="s">
        <v>369</v>
      </c>
      <c r="E86" s="69" t="s">
        <v>370</v>
      </c>
      <c r="F86" s="70" t="s">
        <v>3</v>
      </c>
      <c r="G86" s="79"/>
      <c r="H86" s="108">
        <v>23000000</v>
      </c>
      <c r="I86" s="80">
        <f t="shared" si="14"/>
        <v>25300000.000000004</v>
      </c>
      <c r="J86" s="80">
        <f t="shared" si="15"/>
        <v>27600000</v>
      </c>
      <c r="K86" s="166">
        <f t="shared" si="16"/>
        <v>29900000</v>
      </c>
    </row>
    <row r="87" spans="1:11" ht="75.5">
      <c r="A87" s="57"/>
      <c r="B87" s="174"/>
      <c r="C87" s="67" t="s">
        <v>236</v>
      </c>
      <c r="D87" s="71" t="s">
        <v>382</v>
      </c>
      <c r="E87" s="69" t="s">
        <v>370</v>
      </c>
      <c r="F87" s="70" t="s">
        <v>3</v>
      </c>
      <c r="G87" s="70"/>
      <c r="H87" s="106">
        <v>18000000</v>
      </c>
      <c r="I87" s="36">
        <f t="shared" si="11"/>
        <v>19800000</v>
      </c>
      <c r="J87" s="36">
        <f t="shared" si="12"/>
        <v>21600000</v>
      </c>
      <c r="K87" s="134">
        <f t="shared" si="13"/>
        <v>23400000</v>
      </c>
    </row>
    <row r="88" spans="1:11" ht="75.5">
      <c r="A88" s="57"/>
      <c r="B88" s="175"/>
      <c r="C88" s="67" t="s">
        <v>235</v>
      </c>
      <c r="D88" s="71" t="s">
        <v>381</v>
      </c>
      <c r="E88" s="69" t="s">
        <v>370</v>
      </c>
      <c r="F88" s="70" t="s">
        <v>3</v>
      </c>
      <c r="G88" s="70"/>
      <c r="H88" s="106">
        <v>17500000</v>
      </c>
      <c r="I88" s="36">
        <f t="shared" si="11"/>
        <v>19250000</v>
      </c>
      <c r="J88" s="36">
        <f t="shared" si="12"/>
        <v>21000000</v>
      </c>
      <c r="K88" s="134">
        <f t="shared" si="13"/>
        <v>22750000</v>
      </c>
    </row>
    <row r="89" spans="1:11" ht="107">
      <c r="A89" s="57"/>
      <c r="B89" s="169" t="s">
        <v>371</v>
      </c>
      <c r="C89" s="167" t="s">
        <v>374</v>
      </c>
      <c r="D89" s="168" t="s">
        <v>373</v>
      </c>
      <c r="E89" s="69" t="s">
        <v>370</v>
      </c>
      <c r="F89" s="70" t="s">
        <v>3</v>
      </c>
      <c r="G89" s="70"/>
      <c r="H89" s="106">
        <v>45000000</v>
      </c>
      <c r="I89" s="36">
        <f t="shared" si="11"/>
        <v>49500000.000000007</v>
      </c>
      <c r="J89" s="36">
        <f t="shared" si="12"/>
        <v>54000000</v>
      </c>
      <c r="K89" s="134">
        <f t="shared" si="13"/>
        <v>58500000</v>
      </c>
    </row>
    <row r="90" spans="1:11">
      <c r="B90" s="17"/>
      <c r="C90" s="27"/>
      <c r="D90" s="31"/>
      <c r="E90" s="29"/>
      <c r="F90" s="30"/>
      <c r="G90" s="30"/>
      <c r="H90" s="109"/>
      <c r="I90" s="28"/>
      <c r="J90" s="28"/>
      <c r="K90" s="136"/>
    </row>
    <row r="91" spans="1:11" ht="37.5">
      <c r="A91" s="19"/>
      <c r="B91" s="183" t="s">
        <v>33</v>
      </c>
      <c r="C91" s="184"/>
      <c r="D91" s="184"/>
      <c r="E91" s="184"/>
      <c r="F91" s="113"/>
      <c r="G91" s="113"/>
      <c r="H91" s="113"/>
      <c r="I91" s="113"/>
      <c r="J91" s="130"/>
      <c r="K91" s="137"/>
    </row>
    <row r="92" spans="1:11" ht="160">
      <c r="A92" s="19"/>
      <c r="B92" s="149" t="s">
        <v>274</v>
      </c>
      <c r="C92" s="150" t="s">
        <v>255</v>
      </c>
      <c r="D92" s="151" t="s">
        <v>256</v>
      </c>
      <c r="E92" s="152" t="s">
        <v>44</v>
      </c>
      <c r="F92" s="153" t="s">
        <v>3</v>
      </c>
      <c r="G92" s="153"/>
      <c r="H92" s="153">
        <v>12000000</v>
      </c>
      <c r="I92" s="154">
        <f t="shared" ref="I92:I100" si="17">H92*1.1</f>
        <v>13200000.000000002</v>
      </c>
      <c r="J92" s="154">
        <f t="shared" ref="J92:J100" si="18">H92*1.2</f>
        <v>14400000</v>
      </c>
      <c r="K92" s="154">
        <f>H92*1.3</f>
        <v>15600000</v>
      </c>
    </row>
    <row r="93" spans="1:11" ht="128">
      <c r="A93" s="19"/>
      <c r="B93" s="149" t="s">
        <v>339</v>
      </c>
      <c r="C93" s="150" t="s">
        <v>336</v>
      </c>
      <c r="D93" s="151" t="s">
        <v>337</v>
      </c>
      <c r="E93" s="156" t="s">
        <v>33</v>
      </c>
      <c r="F93" s="156" t="s">
        <v>3</v>
      </c>
      <c r="G93" s="153"/>
      <c r="H93" s="153">
        <v>5000000</v>
      </c>
      <c r="I93" s="154">
        <f t="shared" si="17"/>
        <v>5500000</v>
      </c>
      <c r="J93" s="154">
        <f t="shared" si="18"/>
        <v>6000000</v>
      </c>
      <c r="K93" s="154">
        <f>H93*1.3</f>
        <v>6500000</v>
      </c>
    </row>
    <row r="94" spans="1:11" ht="64">
      <c r="A94" s="19"/>
      <c r="B94" s="149" t="s">
        <v>340</v>
      </c>
      <c r="C94" s="150" t="s">
        <v>338</v>
      </c>
      <c r="D94" s="151" t="s">
        <v>341</v>
      </c>
      <c r="E94" s="156" t="s">
        <v>33</v>
      </c>
      <c r="F94" s="156" t="s">
        <v>3</v>
      </c>
      <c r="G94" s="153"/>
      <c r="H94" s="153">
        <v>20000000</v>
      </c>
      <c r="I94" s="154">
        <f t="shared" si="17"/>
        <v>22000000</v>
      </c>
      <c r="J94" s="154">
        <f t="shared" si="18"/>
        <v>24000000</v>
      </c>
      <c r="K94" s="154">
        <f>H94*1.3</f>
        <v>26000000</v>
      </c>
    </row>
    <row r="95" spans="1:11" ht="165">
      <c r="A95" s="19"/>
      <c r="B95" s="149"/>
      <c r="C95" s="150" t="s">
        <v>305</v>
      </c>
      <c r="D95" s="155" t="s">
        <v>306</v>
      </c>
      <c r="E95" s="156" t="s">
        <v>33</v>
      </c>
      <c r="F95" s="156" t="s">
        <v>3</v>
      </c>
      <c r="G95" s="153"/>
      <c r="H95" s="153">
        <v>14000000</v>
      </c>
      <c r="I95" s="154">
        <f t="shared" si="17"/>
        <v>15400000.000000002</v>
      </c>
      <c r="J95" s="154">
        <f t="shared" si="18"/>
        <v>16800000</v>
      </c>
      <c r="K95" s="154">
        <f>H95*1.3</f>
        <v>18200000</v>
      </c>
    </row>
    <row r="96" spans="1:11" ht="132">
      <c r="A96" s="10"/>
      <c r="B96" s="155">
        <v>1</v>
      </c>
      <c r="C96" s="155" t="s">
        <v>32</v>
      </c>
      <c r="D96" s="155" t="s">
        <v>164</v>
      </c>
      <c r="E96" s="156" t="s">
        <v>33</v>
      </c>
      <c r="F96" s="156" t="s">
        <v>3</v>
      </c>
      <c r="G96" s="155"/>
      <c r="H96" s="157">
        <v>10500000</v>
      </c>
      <c r="I96" s="158">
        <f t="shared" si="17"/>
        <v>11550000.000000002</v>
      </c>
      <c r="J96" s="158">
        <f t="shared" si="18"/>
        <v>12600000</v>
      </c>
      <c r="K96" s="158">
        <f>H96*1.3</f>
        <v>13650000</v>
      </c>
    </row>
    <row r="97" spans="1:11" ht="115.5">
      <c r="A97" s="10"/>
      <c r="B97" s="2">
        <f t="shared" si="7"/>
        <v>2</v>
      </c>
      <c r="C97" s="2" t="s">
        <v>34</v>
      </c>
      <c r="D97" s="2" t="s">
        <v>163</v>
      </c>
      <c r="E97" s="16" t="s">
        <v>33</v>
      </c>
      <c r="F97" s="8" t="s">
        <v>3</v>
      </c>
      <c r="G97" s="2"/>
      <c r="H97" s="110">
        <v>11500000</v>
      </c>
      <c r="I97" s="9">
        <f t="shared" si="17"/>
        <v>12650000.000000002</v>
      </c>
      <c r="J97" s="9">
        <f t="shared" si="18"/>
        <v>13800000</v>
      </c>
      <c r="K97" s="9">
        <f t="shared" ref="K97:K132" si="19">H97*1.3</f>
        <v>14950000</v>
      </c>
    </row>
    <row r="98" spans="1:11" ht="132">
      <c r="A98" s="10"/>
      <c r="B98" s="2">
        <f t="shared" si="7"/>
        <v>3</v>
      </c>
      <c r="C98" s="2" t="s">
        <v>288</v>
      </c>
      <c r="D98" s="2" t="s">
        <v>289</v>
      </c>
      <c r="E98" s="16" t="s">
        <v>33</v>
      </c>
      <c r="F98" s="8" t="s">
        <v>3</v>
      </c>
      <c r="G98" s="2"/>
      <c r="H98" s="110">
        <v>25400000</v>
      </c>
      <c r="I98" s="9">
        <f t="shared" si="17"/>
        <v>27940000.000000004</v>
      </c>
      <c r="J98" s="9">
        <f t="shared" si="18"/>
        <v>30480000</v>
      </c>
      <c r="K98" s="9">
        <f t="shared" si="19"/>
        <v>33020000</v>
      </c>
    </row>
    <row r="99" spans="1:11" ht="132">
      <c r="A99" s="10"/>
      <c r="B99" s="17">
        <f t="shared" si="7"/>
        <v>4</v>
      </c>
      <c r="C99" s="2" t="s">
        <v>92</v>
      </c>
      <c r="D99" s="2" t="s">
        <v>290</v>
      </c>
      <c r="E99" s="16" t="s">
        <v>33</v>
      </c>
      <c r="F99" s="8" t="s">
        <v>3</v>
      </c>
      <c r="G99" s="2"/>
      <c r="H99" s="110">
        <v>26400000</v>
      </c>
      <c r="I99" s="9">
        <f t="shared" si="17"/>
        <v>29040000.000000004</v>
      </c>
      <c r="J99" s="9">
        <f t="shared" si="18"/>
        <v>31680000</v>
      </c>
      <c r="K99" s="9">
        <f t="shared" si="19"/>
        <v>34320000</v>
      </c>
    </row>
    <row r="100" spans="1:11" ht="132">
      <c r="A100" s="10"/>
      <c r="B100" s="17">
        <f t="shared" si="7"/>
        <v>5</v>
      </c>
      <c r="C100" s="2" t="s">
        <v>162</v>
      </c>
      <c r="D100" s="2" t="s">
        <v>291</v>
      </c>
      <c r="E100" s="16" t="s">
        <v>33</v>
      </c>
      <c r="F100" s="8" t="s">
        <v>3</v>
      </c>
      <c r="G100" s="2"/>
      <c r="H100" s="110">
        <v>28500000</v>
      </c>
      <c r="I100" s="9">
        <f t="shared" si="17"/>
        <v>31350000.000000004</v>
      </c>
      <c r="J100" s="9">
        <f t="shared" si="18"/>
        <v>34200000</v>
      </c>
      <c r="K100" s="9">
        <f t="shared" si="19"/>
        <v>37050000</v>
      </c>
    </row>
    <row r="101" spans="1:11" ht="165">
      <c r="A101" s="10"/>
      <c r="B101" s="17">
        <f t="shared" si="7"/>
        <v>6</v>
      </c>
      <c r="C101" s="2" t="s">
        <v>35</v>
      </c>
      <c r="D101" s="2" t="s">
        <v>71</v>
      </c>
      <c r="E101" s="16" t="s">
        <v>33</v>
      </c>
      <c r="F101" s="8" t="s">
        <v>3</v>
      </c>
      <c r="G101" s="2"/>
      <c r="H101" s="110">
        <v>18500000</v>
      </c>
      <c r="I101" s="9">
        <f t="shared" si="3"/>
        <v>20350000</v>
      </c>
      <c r="J101" s="9">
        <f t="shared" ref="J101:J162" si="20">H101*1.2</f>
        <v>22200000</v>
      </c>
      <c r="K101" s="9">
        <f t="shared" si="19"/>
        <v>24050000</v>
      </c>
    </row>
    <row r="102" spans="1:11" ht="214.5">
      <c r="A102" s="10"/>
      <c r="B102" s="17">
        <f t="shared" si="7"/>
        <v>7</v>
      </c>
      <c r="C102" s="2" t="s">
        <v>181</v>
      </c>
      <c r="D102" s="2" t="s">
        <v>184</v>
      </c>
      <c r="E102" s="16" t="s">
        <v>33</v>
      </c>
      <c r="F102" s="8" t="s">
        <v>3</v>
      </c>
      <c r="G102" s="2"/>
      <c r="H102" s="110">
        <v>20900000</v>
      </c>
      <c r="I102" s="9">
        <f t="shared" si="3"/>
        <v>22990000</v>
      </c>
      <c r="J102" s="9">
        <f t="shared" si="20"/>
        <v>25080000</v>
      </c>
      <c r="K102" s="9">
        <f t="shared" si="19"/>
        <v>27170000</v>
      </c>
    </row>
    <row r="103" spans="1:11" ht="181.5">
      <c r="A103" s="10"/>
      <c r="B103" s="17">
        <f t="shared" si="7"/>
        <v>8</v>
      </c>
      <c r="C103" s="2" t="s">
        <v>77</v>
      </c>
      <c r="D103" s="2" t="s">
        <v>147</v>
      </c>
      <c r="E103" s="16" t="s">
        <v>33</v>
      </c>
      <c r="F103" s="8" t="s">
        <v>3</v>
      </c>
      <c r="G103" s="2"/>
      <c r="H103" s="110">
        <v>33000000</v>
      </c>
      <c r="I103" s="9">
        <f t="shared" si="3"/>
        <v>36300000</v>
      </c>
      <c r="J103" s="9">
        <f t="shared" si="20"/>
        <v>39600000</v>
      </c>
      <c r="K103" s="9">
        <f t="shared" si="19"/>
        <v>42900000</v>
      </c>
    </row>
    <row r="104" spans="1:11" ht="181.5">
      <c r="A104" s="10"/>
      <c r="B104" s="17">
        <f t="shared" si="7"/>
        <v>9</v>
      </c>
      <c r="C104" s="2" t="s">
        <v>78</v>
      </c>
      <c r="D104" s="2" t="s">
        <v>148</v>
      </c>
      <c r="E104" s="16" t="s">
        <v>33</v>
      </c>
      <c r="F104" s="8" t="s">
        <v>3</v>
      </c>
      <c r="G104" s="2"/>
      <c r="H104" s="110">
        <v>36000000</v>
      </c>
      <c r="I104" s="9">
        <f t="shared" si="3"/>
        <v>39600000</v>
      </c>
      <c r="J104" s="9">
        <f t="shared" si="20"/>
        <v>43200000</v>
      </c>
      <c r="K104" s="9">
        <f t="shared" si="19"/>
        <v>46800000</v>
      </c>
    </row>
    <row r="105" spans="1:11" ht="198">
      <c r="A105" s="10"/>
      <c r="B105" s="17"/>
      <c r="C105" s="2" t="s">
        <v>319</v>
      </c>
      <c r="D105" s="2" t="s">
        <v>321</v>
      </c>
      <c r="E105" s="16" t="s">
        <v>33</v>
      </c>
      <c r="F105" s="8" t="s">
        <v>3</v>
      </c>
      <c r="G105" s="2"/>
      <c r="H105" s="110">
        <v>37500000</v>
      </c>
      <c r="I105" s="9">
        <f t="shared" si="3"/>
        <v>41250000</v>
      </c>
      <c r="J105" s="9">
        <f t="shared" si="20"/>
        <v>45000000</v>
      </c>
      <c r="K105" s="9">
        <f t="shared" si="19"/>
        <v>48750000</v>
      </c>
    </row>
    <row r="106" spans="1:11" ht="198">
      <c r="A106" s="10"/>
      <c r="B106" s="17"/>
      <c r="C106" s="2" t="s">
        <v>320</v>
      </c>
      <c r="D106" s="2" t="s">
        <v>322</v>
      </c>
      <c r="E106" s="16" t="s">
        <v>33</v>
      </c>
      <c r="F106" s="8" t="s">
        <v>3</v>
      </c>
      <c r="G106" s="2"/>
      <c r="H106" s="110">
        <v>40500000</v>
      </c>
      <c r="I106" s="9">
        <f t="shared" si="3"/>
        <v>44550000</v>
      </c>
      <c r="J106" s="9">
        <f t="shared" si="20"/>
        <v>48600000</v>
      </c>
      <c r="K106" s="9">
        <f t="shared" si="19"/>
        <v>52650000</v>
      </c>
    </row>
    <row r="107" spans="1:11" ht="181.5">
      <c r="B107" s="17">
        <f>B104+1</f>
        <v>10</v>
      </c>
      <c r="C107" s="2" t="s">
        <v>36</v>
      </c>
      <c r="D107" s="2" t="s">
        <v>149</v>
      </c>
      <c r="E107" s="16" t="s">
        <v>33</v>
      </c>
      <c r="F107" s="8" t="s">
        <v>3</v>
      </c>
      <c r="G107" s="2"/>
      <c r="H107" s="107">
        <v>37500000</v>
      </c>
      <c r="I107" s="9">
        <f t="shared" si="3"/>
        <v>41250000</v>
      </c>
      <c r="J107" s="9">
        <f t="shared" si="20"/>
        <v>45000000</v>
      </c>
      <c r="K107" s="9">
        <f t="shared" si="19"/>
        <v>48750000</v>
      </c>
    </row>
    <row r="108" spans="1:11" ht="198">
      <c r="B108" s="186" t="s">
        <v>286</v>
      </c>
      <c r="C108" s="2" t="s">
        <v>102</v>
      </c>
      <c r="D108" s="2" t="s">
        <v>152</v>
      </c>
      <c r="E108" s="16" t="s">
        <v>33</v>
      </c>
      <c r="F108" s="8" t="s">
        <v>3</v>
      </c>
      <c r="G108" s="2"/>
      <c r="H108" s="107">
        <v>37500000</v>
      </c>
      <c r="I108" s="9">
        <f t="shared" si="3"/>
        <v>41250000</v>
      </c>
      <c r="J108" s="9">
        <f t="shared" si="20"/>
        <v>45000000</v>
      </c>
      <c r="K108" s="9">
        <f t="shared" si="19"/>
        <v>48750000</v>
      </c>
    </row>
    <row r="109" spans="1:11" ht="198">
      <c r="B109" s="187"/>
      <c r="C109" s="2" t="s">
        <v>103</v>
      </c>
      <c r="D109" s="2" t="s">
        <v>151</v>
      </c>
      <c r="E109" s="16" t="s">
        <v>33</v>
      </c>
      <c r="F109" s="8" t="s">
        <v>3</v>
      </c>
      <c r="G109" s="2"/>
      <c r="H109" s="107">
        <v>47000000</v>
      </c>
      <c r="I109" s="9">
        <f t="shared" si="3"/>
        <v>51700000.000000007</v>
      </c>
      <c r="J109" s="9">
        <f t="shared" si="20"/>
        <v>56400000</v>
      </c>
      <c r="K109" s="9">
        <f t="shared" si="19"/>
        <v>61100000</v>
      </c>
    </row>
    <row r="110" spans="1:11" ht="198">
      <c r="B110" s="187"/>
      <c r="C110" s="2" t="s">
        <v>104</v>
      </c>
      <c r="D110" s="2" t="s">
        <v>150</v>
      </c>
      <c r="E110" s="16" t="s">
        <v>33</v>
      </c>
      <c r="F110" s="8" t="s">
        <v>3</v>
      </c>
      <c r="G110" s="2"/>
      <c r="H110" s="107">
        <v>52000000</v>
      </c>
      <c r="I110" s="9">
        <f t="shared" si="3"/>
        <v>57200000.000000007</v>
      </c>
      <c r="J110" s="9">
        <f t="shared" si="20"/>
        <v>62400000</v>
      </c>
      <c r="K110" s="9">
        <f t="shared" si="19"/>
        <v>67600000</v>
      </c>
    </row>
    <row r="111" spans="1:11" ht="198">
      <c r="B111" s="187"/>
      <c r="C111" s="2" t="s">
        <v>137</v>
      </c>
      <c r="D111" s="2" t="s">
        <v>153</v>
      </c>
      <c r="E111" s="16" t="s">
        <v>33</v>
      </c>
      <c r="F111" s="8" t="s">
        <v>3</v>
      </c>
      <c r="G111" s="2"/>
      <c r="H111" s="107">
        <v>54800000</v>
      </c>
      <c r="I111" s="9">
        <f t="shared" si="3"/>
        <v>60280000.000000007</v>
      </c>
      <c r="J111" s="9">
        <f t="shared" si="20"/>
        <v>65760000</v>
      </c>
      <c r="K111" s="9">
        <f t="shared" si="19"/>
        <v>71240000</v>
      </c>
    </row>
    <row r="112" spans="1:11" ht="198">
      <c r="B112" s="188"/>
      <c r="C112" s="2" t="s">
        <v>105</v>
      </c>
      <c r="D112" s="2" t="s">
        <v>327</v>
      </c>
      <c r="E112" s="16" t="s">
        <v>33</v>
      </c>
      <c r="F112" s="8" t="s">
        <v>3</v>
      </c>
      <c r="G112" s="2"/>
      <c r="H112" s="107">
        <v>57500000</v>
      </c>
      <c r="I112" s="9">
        <f t="shared" si="3"/>
        <v>63250000.000000007</v>
      </c>
      <c r="J112" s="9">
        <f t="shared" si="20"/>
        <v>69000000</v>
      </c>
      <c r="K112" s="9">
        <f t="shared" si="19"/>
        <v>74750000</v>
      </c>
    </row>
    <row r="113" spans="2:11" ht="198">
      <c r="B113" s="173" t="s">
        <v>222</v>
      </c>
      <c r="C113" s="2" t="s">
        <v>220</v>
      </c>
      <c r="D113" s="2" t="s">
        <v>326</v>
      </c>
      <c r="E113" s="16" t="s">
        <v>33</v>
      </c>
      <c r="F113" s="8" t="s">
        <v>3</v>
      </c>
      <c r="G113" s="2"/>
      <c r="H113" s="107">
        <v>43000000</v>
      </c>
      <c r="I113" s="9">
        <f t="shared" si="3"/>
        <v>47300000.000000007</v>
      </c>
      <c r="J113" s="9">
        <f t="shared" si="20"/>
        <v>51600000</v>
      </c>
      <c r="K113" s="9">
        <f t="shared" si="19"/>
        <v>55900000</v>
      </c>
    </row>
    <row r="114" spans="2:11" ht="198">
      <c r="B114" s="174"/>
      <c r="C114" s="2" t="s">
        <v>221</v>
      </c>
      <c r="D114" s="2" t="s">
        <v>325</v>
      </c>
      <c r="E114" s="16" t="s">
        <v>33</v>
      </c>
      <c r="F114" s="8" t="s">
        <v>3</v>
      </c>
      <c r="G114" s="2"/>
      <c r="H114" s="107">
        <v>47000000</v>
      </c>
      <c r="I114" s="9">
        <f t="shared" si="3"/>
        <v>51700000.000000007</v>
      </c>
      <c r="J114" s="9">
        <f t="shared" si="20"/>
        <v>56400000</v>
      </c>
      <c r="K114" s="9">
        <f t="shared" si="19"/>
        <v>61100000</v>
      </c>
    </row>
    <row r="115" spans="2:11" ht="165">
      <c r="B115" s="175"/>
      <c r="C115" s="2" t="s">
        <v>323</v>
      </c>
      <c r="D115" s="2" t="s">
        <v>324</v>
      </c>
      <c r="E115" s="16" t="s">
        <v>33</v>
      </c>
      <c r="F115" s="8" t="s">
        <v>3</v>
      </c>
      <c r="G115" s="2"/>
      <c r="H115" s="107">
        <v>50000000</v>
      </c>
      <c r="I115" s="9">
        <f t="shared" si="3"/>
        <v>55000000.000000007</v>
      </c>
      <c r="J115" s="9">
        <f t="shared" si="20"/>
        <v>60000000</v>
      </c>
      <c r="K115" s="9">
        <f t="shared" si="19"/>
        <v>65000000</v>
      </c>
    </row>
    <row r="116" spans="2:11">
      <c r="B116" s="17"/>
      <c r="C116" s="2"/>
      <c r="D116" s="2"/>
      <c r="E116" s="16"/>
      <c r="F116" s="8"/>
      <c r="G116" s="2"/>
      <c r="H116" s="107"/>
      <c r="I116" s="9"/>
      <c r="J116" s="9"/>
      <c r="K116" s="9"/>
    </row>
    <row r="117" spans="2:11" ht="49.5">
      <c r="B117" s="17">
        <f>B112+1</f>
        <v>1</v>
      </c>
      <c r="C117" s="2" t="s">
        <v>84</v>
      </c>
      <c r="D117" s="2" t="s">
        <v>79</v>
      </c>
      <c r="E117" s="16" t="s">
        <v>33</v>
      </c>
      <c r="F117" s="8" t="s">
        <v>3</v>
      </c>
      <c r="G117" s="2"/>
      <c r="H117" s="107">
        <v>1000000</v>
      </c>
      <c r="I117" s="9">
        <f t="shared" si="3"/>
        <v>1100000</v>
      </c>
      <c r="J117" s="9">
        <f t="shared" si="20"/>
        <v>1200000</v>
      </c>
      <c r="K117" s="9">
        <f t="shared" si="19"/>
        <v>1300000</v>
      </c>
    </row>
    <row r="118" spans="2:11">
      <c r="B118" s="17">
        <f t="shared" si="7"/>
        <v>2</v>
      </c>
      <c r="C118" s="2" t="s">
        <v>85</v>
      </c>
      <c r="D118" s="2" t="s">
        <v>80</v>
      </c>
      <c r="E118" s="16" t="s">
        <v>33</v>
      </c>
      <c r="F118" s="8" t="s">
        <v>3</v>
      </c>
      <c r="G118" s="2"/>
      <c r="H118" s="107">
        <v>800000</v>
      </c>
      <c r="I118" s="9">
        <f t="shared" si="3"/>
        <v>880000.00000000012</v>
      </c>
      <c r="J118" s="9">
        <f t="shared" si="20"/>
        <v>960000</v>
      </c>
      <c r="K118" s="9">
        <f t="shared" si="19"/>
        <v>1040000</v>
      </c>
    </row>
    <row r="119" spans="2:11">
      <c r="B119" s="17">
        <f t="shared" si="7"/>
        <v>3</v>
      </c>
      <c r="C119" s="2" t="s">
        <v>86</v>
      </c>
      <c r="D119" s="2" t="s">
        <v>81</v>
      </c>
      <c r="E119" s="16" t="s">
        <v>33</v>
      </c>
      <c r="F119" s="8" t="s">
        <v>3</v>
      </c>
      <c r="G119" s="2"/>
      <c r="H119" s="107">
        <v>450000</v>
      </c>
      <c r="I119" s="9">
        <f t="shared" si="3"/>
        <v>495000.00000000006</v>
      </c>
      <c r="J119" s="9">
        <f t="shared" si="20"/>
        <v>540000</v>
      </c>
      <c r="K119" s="9">
        <f t="shared" si="19"/>
        <v>585000</v>
      </c>
    </row>
    <row r="120" spans="2:11" ht="160">
      <c r="B120" s="17">
        <f t="shared" si="7"/>
        <v>4</v>
      </c>
      <c r="C120" s="22" t="s">
        <v>106</v>
      </c>
      <c r="D120" s="25" t="s">
        <v>107</v>
      </c>
      <c r="E120" s="16" t="s">
        <v>33</v>
      </c>
      <c r="F120" s="8" t="s">
        <v>3</v>
      </c>
      <c r="G120" s="2"/>
      <c r="H120" s="107">
        <v>15600000</v>
      </c>
      <c r="I120" s="9">
        <f t="shared" si="3"/>
        <v>17160000</v>
      </c>
      <c r="J120" s="9">
        <f t="shared" si="20"/>
        <v>18720000</v>
      </c>
      <c r="K120" s="9">
        <f t="shared" si="19"/>
        <v>20280000</v>
      </c>
    </row>
    <row r="121" spans="2:11" ht="160">
      <c r="B121" s="17">
        <f t="shared" si="7"/>
        <v>5</v>
      </c>
      <c r="C121" s="22" t="s">
        <v>109</v>
      </c>
      <c r="D121" s="25" t="s">
        <v>108</v>
      </c>
      <c r="E121" s="16" t="s">
        <v>33</v>
      </c>
      <c r="F121" s="8" t="s">
        <v>3</v>
      </c>
      <c r="G121" s="2"/>
      <c r="H121" s="107">
        <v>20400000</v>
      </c>
      <c r="I121" s="9">
        <f t="shared" si="3"/>
        <v>22440000</v>
      </c>
      <c r="J121" s="9">
        <f t="shared" si="20"/>
        <v>24480000</v>
      </c>
      <c r="K121" s="9">
        <f t="shared" si="19"/>
        <v>26520000</v>
      </c>
    </row>
    <row r="122" spans="2:11" ht="320">
      <c r="B122" s="17">
        <f t="shared" si="7"/>
        <v>6</v>
      </c>
      <c r="C122" s="22" t="s">
        <v>110</v>
      </c>
      <c r="D122" s="25" t="s">
        <v>113</v>
      </c>
      <c r="E122" s="16" t="s">
        <v>33</v>
      </c>
      <c r="F122" s="8" t="s">
        <v>3</v>
      </c>
      <c r="G122" s="2"/>
      <c r="H122" s="107">
        <v>34000000</v>
      </c>
      <c r="I122" s="9">
        <f t="shared" si="3"/>
        <v>37400000</v>
      </c>
      <c r="J122" s="9">
        <f t="shared" si="20"/>
        <v>40800000</v>
      </c>
      <c r="K122" s="9">
        <f t="shared" si="19"/>
        <v>44200000</v>
      </c>
    </row>
    <row r="123" spans="2:11" ht="320">
      <c r="B123" s="17">
        <f t="shared" si="7"/>
        <v>7</v>
      </c>
      <c r="C123" s="22" t="s">
        <v>111</v>
      </c>
      <c r="D123" s="25" t="s">
        <v>115</v>
      </c>
      <c r="E123" s="16" t="s">
        <v>33</v>
      </c>
      <c r="F123" s="8" t="s">
        <v>3</v>
      </c>
      <c r="G123" s="2"/>
      <c r="H123" s="107">
        <v>44000000</v>
      </c>
      <c r="I123" s="9">
        <f t="shared" si="3"/>
        <v>48400000.000000007</v>
      </c>
      <c r="J123" s="9">
        <f t="shared" si="20"/>
        <v>52800000</v>
      </c>
      <c r="K123" s="9">
        <f t="shared" si="19"/>
        <v>57200000</v>
      </c>
    </row>
    <row r="124" spans="2:11" ht="320">
      <c r="B124" s="17">
        <f t="shared" si="7"/>
        <v>8</v>
      </c>
      <c r="C124" s="22" t="s">
        <v>112</v>
      </c>
      <c r="D124" s="25" t="s">
        <v>114</v>
      </c>
      <c r="E124" s="16" t="s">
        <v>33</v>
      </c>
      <c r="F124" s="8" t="s">
        <v>3</v>
      </c>
      <c r="G124" s="2"/>
      <c r="H124" s="107">
        <v>64000000</v>
      </c>
      <c r="I124" s="9">
        <f t="shared" si="3"/>
        <v>70400000</v>
      </c>
      <c r="J124" s="9">
        <f t="shared" si="20"/>
        <v>76800000</v>
      </c>
      <c r="K124" s="9">
        <f t="shared" si="19"/>
        <v>83200000</v>
      </c>
    </row>
    <row r="125" spans="2:11" ht="288">
      <c r="B125" s="226" t="s">
        <v>198</v>
      </c>
      <c r="C125" s="22" t="s">
        <v>39</v>
      </c>
      <c r="D125" s="23" t="s">
        <v>72</v>
      </c>
      <c r="E125" s="24" t="s">
        <v>33</v>
      </c>
      <c r="F125" s="8" t="s">
        <v>3</v>
      </c>
      <c r="G125" s="2"/>
      <c r="H125" s="107">
        <v>17000000</v>
      </c>
      <c r="I125" s="9">
        <f t="shared" si="3"/>
        <v>18700000</v>
      </c>
      <c r="J125" s="9">
        <f t="shared" si="20"/>
        <v>20400000</v>
      </c>
      <c r="K125" s="9">
        <f t="shared" si="19"/>
        <v>22100000</v>
      </c>
    </row>
    <row r="126" spans="2:11" ht="304">
      <c r="B126" s="227"/>
      <c r="C126" s="22" t="s">
        <v>40</v>
      </c>
      <c r="D126" s="23" t="s">
        <v>42</v>
      </c>
      <c r="E126" s="24" t="s">
        <v>33</v>
      </c>
      <c r="F126" s="8" t="s">
        <v>3</v>
      </c>
      <c r="G126" s="2"/>
      <c r="H126" s="107">
        <v>17500000</v>
      </c>
      <c r="I126" s="9">
        <f t="shared" si="3"/>
        <v>19250000</v>
      </c>
      <c r="J126" s="9">
        <f t="shared" si="20"/>
        <v>21000000</v>
      </c>
      <c r="K126" s="9">
        <f t="shared" si="19"/>
        <v>22750000</v>
      </c>
    </row>
    <row r="127" spans="2:11" ht="176">
      <c r="B127" s="227"/>
      <c r="C127" s="22" t="s">
        <v>83</v>
      </c>
      <c r="D127" s="23" t="s">
        <v>82</v>
      </c>
      <c r="E127" s="24" t="s">
        <v>33</v>
      </c>
      <c r="F127" s="8" t="s">
        <v>3</v>
      </c>
      <c r="G127" s="2"/>
      <c r="H127" s="107">
        <v>20400000</v>
      </c>
      <c r="I127" s="9">
        <f t="shared" si="3"/>
        <v>22440000</v>
      </c>
      <c r="J127" s="9">
        <f t="shared" si="20"/>
        <v>24480000</v>
      </c>
      <c r="K127" s="9">
        <f t="shared" si="19"/>
        <v>26520000</v>
      </c>
    </row>
    <row r="128" spans="2:11" ht="224">
      <c r="B128" s="227"/>
      <c r="C128" s="22" t="s">
        <v>182</v>
      </c>
      <c r="D128" s="23" t="s">
        <v>183</v>
      </c>
      <c r="E128" s="24" t="s">
        <v>33</v>
      </c>
      <c r="F128" s="8"/>
      <c r="G128" s="2"/>
      <c r="H128" s="107">
        <v>32000000</v>
      </c>
      <c r="I128" s="9">
        <f t="shared" si="3"/>
        <v>35200000</v>
      </c>
      <c r="J128" s="9">
        <f t="shared" si="20"/>
        <v>38400000</v>
      </c>
      <c r="K128" s="9">
        <f t="shared" si="19"/>
        <v>41600000</v>
      </c>
    </row>
    <row r="129" spans="2:11" ht="240">
      <c r="B129" s="227"/>
      <c r="C129" s="22" t="s">
        <v>41</v>
      </c>
      <c r="D129" s="23" t="s">
        <v>138</v>
      </c>
      <c r="E129" s="24" t="s">
        <v>33</v>
      </c>
      <c r="F129" s="8" t="s">
        <v>3</v>
      </c>
      <c r="G129" s="2"/>
      <c r="H129" s="107">
        <v>40000000</v>
      </c>
      <c r="I129" s="9">
        <f t="shared" si="3"/>
        <v>44000000</v>
      </c>
      <c r="J129" s="9">
        <f t="shared" si="20"/>
        <v>48000000</v>
      </c>
      <c r="K129" s="9">
        <f t="shared" si="19"/>
        <v>52000000</v>
      </c>
    </row>
    <row r="130" spans="2:11" ht="240">
      <c r="B130" s="227"/>
      <c r="C130" s="22" t="s">
        <v>218</v>
      </c>
      <c r="D130" s="23" t="s">
        <v>219</v>
      </c>
      <c r="E130" s="24" t="s">
        <v>33</v>
      </c>
      <c r="F130" s="8" t="s">
        <v>3</v>
      </c>
      <c r="G130" s="2"/>
      <c r="H130" s="107">
        <v>42500000</v>
      </c>
      <c r="I130" s="9">
        <f t="shared" si="3"/>
        <v>46750000.000000007</v>
      </c>
      <c r="J130" s="9">
        <f t="shared" si="20"/>
        <v>51000000</v>
      </c>
      <c r="K130" s="9">
        <f t="shared" si="19"/>
        <v>55250000</v>
      </c>
    </row>
    <row r="131" spans="2:11" ht="128">
      <c r="B131" s="227"/>
      <c r="C131" s="22" t="s">
        <v>300</v>
      </c>
      <c r="D131" s="12" t="s">
        <v>301</v>
      </c>
      <c r="E131" s="24" t="s">
        <v>44</v>
      </c>
      <c r="F131" s="8" t="s">
        <v>3</v>
      </c>
      <c r="G131" s="2"/>
      <c r="H131" s="107">
        <v>30500000</v>
      </c>
      <c r="I131" s="9">
        <f t="shared" si="3"/>
        <v>33550000.000000004</v>
      </c>
      <c r="J131" s="9">
        <f t="shared" si="20"/>
        <v>36600000</v>
      </c>
      <c r="K131" s="9">
        <f t="shared" si="19"/>
        <v>39650000</v>
      </c>
    </row>
    <row r="132" spans="2:11" ht="176">
      <c r="B132" s="227"/>
      <c r="C132" s="22" t="s">
        <v>383</v>
      </c>
      <c r="D132" s="12" t="s">
        <v>388</v>
      </c>
      <c r="E132" s="32" t="s">
        <v>44</v>
      </c>
      <c r="F132" s="8" t="s">
        <v>3</v>
      </c>
      <c r="G132" s="2"/>
      <c r="H132" s="107">
        <v>34500000</v>
      </c>
      <c r="I132" s="9">
        <f t="shared" si="3"/>
        <v>37950000</v>
      </c>
      <c r="J132" s="9">
        <f t="shared" si="20"/>
        <v>41400000</v>
      </c>
      <c r="K132" s="9">
        <f t="shared" si="19"/>
        <v>44850000</v>
      </c>
    </row>
    <row r="133" spans="2:11" ht="128">
      <c r="B133" s="164"/>
      <c r="C133" s="15" t="s">
        <v>257</v>
      </c>
      <c r="D133" s="12" t="s">
        <v>389</v>
      </c>
      <c r="E133" s="32" t="s">
        <v>44</v>
      </c>
      <c r="F133" s="8" t="s">
        <v>3</v>
      </c>
      <c r="G133" s="2"/>
      <c r="H133" s="107">
        <v>36000000</v>
      </c>
      <c r="I133" s="9">
        <f t="shared" si="3"/>
        <v>39600000</v>
      </c>
      <c r="J133" s="9">
        <f t="shared" si="20"/>
        <v>43200000</v>
      </c>
      <c r="K133" s="9">
        <f t="shared" si="9"/>
        <v>46800000</v>
      </c>
    </row>
    <row r="134" spans="2:11" ht="64">
      <c r="B134" s="164"/>
      <c r="C134" s="15" t="s">
        <v>354</v>
      </c>
      <c r="D134" s="12" t="s">
        <v>356</v>
      </c>
      <c r="E134" s="32" t="s">
        <v>358</v>
      </c>
      <c r="F134" s="8" t="s">
        <v>3</v>
      </c>
      <c r="G134" s="2"/>
      <c r="H134" s="107">
        <v>20000000</v>
      </c>
      <c r="I134" s="9">
        <f t="shared" si="3"/>
        <v>22000000</v>
      </c>
      <c r="J134" s="9">
        <f t="shared" si="20"/>
        <v>24000000</v>
      </c>
      <c r="K134" s="9">
        <f t="shared" si="9"/>
        <v>26000000</v>
      </c>
    </row>
    <row r="135" spans="2:11" ht="144">
      <c r="B135" s="164"/>
      <c r="C135" s="15" t="s">
        <v>355</v>
      </c>
      <c r="D135" s="12" t="s">
        <v>357</v>
      </c>
      <c r="E135" s="32" t="s">
        <v>358</v>
      </c>
      <c r="F135" s="8" t="s">
        <v>3</v>
      </c>
      <c r="G135" s="2"/>
      <c r="H135" s="107">
        <v>20200000</v>
      </c>
      <c r="I135" s="9">
        <f t="shared" si="3"/>
        <v>22220000</v>
      </c>
      <c r="J135" s="9">
        <f t="shared" si="20"/>
        <v>24240000</v>
      </c>
      <c r="K135" s="9">
        <f t="shared" si="9"/>
        <v>26260000</v>
      </c>
    </row>
    <row r="136" spans="2:11" ht="37.5">
      <c r="B136" s="183" t="s">
        <v>359</v>
      </c>
      <c r="C136" s="184"/>
      <c r="D136" s="184"/>
      <c r="E136" s="184"/>
      <c r="F136" s="113"/>
      <c r="G136" s="113"/>
      <c r="H136" s="113"/>
      <c r="I136" s="113"/>
      <c r="J136" s="130"/>
      <c r="K136" s="137"/>
    </row>
    <row r="137" spans="2:11" ht="144">
      <c r="B137" s="2">
        <v>2</v>
      </c>
      <c r="C137" s="15" t="s">
        <v>299</v>
      </c>
      <c r="D137" s="12" t="s">
        <v>298</v>
      </c>
      <c r="E137" s="11" t="s">
        <v>234</v>
      </c>
      <c r="F137" s="8" t="s">
        <v>3</v>
      </c>
      <c r="G137" s="2"/>
      <c r="H137" s="107">
        <v>42000000</v>
      </c>
      <c r="I137" s="9">
        <f t="shared" si="3"/>
        <v>46200000.000000007</v>
      </c>
      <c r="J137" s="9">
        <f t="shared" si="20"/>
        <v>50400000</v>
      </c>
      <c r="K137" s="9">
        <f t="shared" si="9"/>
        <v>54600000</v>
      </c>
    </row>
    <row r="138" spans="2:11" ht="144">
      <c r="B138" s="2" t="s">
        <v>333</v>
      </c>
      <c r="C138" s="15" t="s">
        <v>332</v>
      </c>
      <c r="D138" s="12" t="s">
        <v>335</v>
      </c>
      <c r="E138" s="11" t="s">
        <v>334</v>
      </c>
      <c r="F138" s="8" t="s">
        <v>3</v>
      </c>
      <c r="G138" s="2"/>
      <c r="H138" s="107">
        <v>20000000</v>
      </c>
      <c r="I138" s="9">
        <f t="shared" si="3"/>
        <v>22000000</v>
      </c>
      <c r="J138" s="9">
        <f t="shared" si="20"/>
        <v>24000000</v>
      </c>
      <c r="K138" s="9">
        <f t="shared" si="9"/>
        <v>26000000</v>
      </c>
    </row>
    <row r="139" spans="2:11" ht="35">
      <c r="B139" s="179" t="s">
        <v>245</v>
      </c>
      <c r="C139" s="180"/>
      <c r="D139" s="180"/>
      <c r="E139" s="180"/>
      <c r="F139" s="123"/>
      <c r="G139" s="124"/>
      <c r="H139" s="125"/>
      <c r="I139" s="126">
        <f t="shared" si="3"/>
        <v>0</v>
      </c>
      <c r="J139" s="126">
        <f t="shared" si="20"/>
        <v>0</v>
      </c>
      <c r="K139" s="126">
        <f t="shared" si="9"/>
        <v>0</v>
      </c>
    </row>
    <row r="140" spans="2:11" ht="208">
      <c r="B140" s="178" t="s">
        <v>265</v>
      </c>
      <c r="C140" s="21" t="s">
        <v>266</v>
      </c>
      <c r="D140" s="20" t="s">
        <v>268</v>
      </c>
      <c r="E140" s="11" t="s">
        <v>279</v>
      </c>
      <c r="F140" s="8" t="s">
        <v>3</v>
      </c>
      <c r="G140" s="139"/>
      <c r="H140" s="140">
        <v>18000000</v>
      </c>
      <c r="I140" s="9">
        <f t="shared" si="3"/>
        <v>19800000</v>
      </c>
      <c r="J140" s="9">
        <f t="shared" si="20"/>
        <v>21600000</v>
      </c>
      <c r="K140" s="9">
        <f t="shared" si="9"/>
        <v>23400000</v>
      </c>
    </row>
    <row r="141" spans="2:11" ht="208">
      <c r="B141" s="178"/>
      <c r="C141" s="21" t="s">
        <v>267</v>
      </c>
      <c r="D141" s="20" t="s">
        <v>269</v>
      </c>
      <c r="E141" s="11" t="s">
        <v>279</v>
      </c>
      <c r="F141" s="8" t="s">
        <v>3</v>
      </c>
      <c r="G141" s="139"/>
      <c r="H141" s="140">
        <v>19000000</v>
      </c>
      <c r="I141" s="9">
        <f t="shared" si="3"/>
        <v>20900000</v>
      </c>
      <c r="J141" s="9">
        <f t="shared" si="20"/>
        <v>22800000</v>
      </c>
      <c r="K141" s="9">
        <f t="shared" si="9"/>
        <v>24700000</v>
      </c>
    </row>
    <row r="142" spans="2:11" ht="208">
      <c r="B142" s="178"/>
      <c r="C142" s="15" t="s">
        <v>250</v>
      </c>
      <c r="D142" s="12" t="s">
        <v>386</v>
      </c>
      <c r="E142" s="11" t="s">
        <v>279</v>
      </c>
      <c r="F142" s="8" t="s">
        <v>3</v>
      </c>
      <c r="G142" s="2"/>
      <c r="H142" s="107">
        <v>28000000</v>
      </c>
      <c r="I142" s="9">
        <f t="shared" si="3"/>
        <v>30800000.000000004</v>
      </c>
      <c r="J142" s="9">
        <f t="shared" si="20"/>
        <v>33600000</v>
      </c>
      <c r="K142" s="9">
        <f t="shared" si="9"/>
        <v>36400000</v>
      </c>
    </row>
    <row r="143" spans="2:11" ht="208">
      <c r="B143" s="178"/>
      <c r="C143" s="15" t="s">
        <v>251</v>
      </c>
      <c r="D143" s="12" t="s">
        <v>246</v>
      </c>
      <c r="E143" s="11" t="s">
        <v>279</v>
      </c>
      <c r="F143" s="8" t="s">
        <v>3</v>
      </c>
      <c r="G143" s="2"/>
      <c r="H143" s="107">
        <v>31000000</v>
      </c>
      <c r="I143" s="9">
        <f t="shared" si="3"/>
        <v>34100000</v>
      </c>
      <c r="J143" s="9">
        <f t="shared" si="20"/>
        <v>37200000</v>
      </c>
      <c r="K143" s="9">
        <f t="shared" si="9"/>
        <v>40300000</v>
      </c>
    </row>
    <row r="144" spans="2:11" ht="208">
      <c r="B144" s="178"/>
      <c r="C144" s="15" t="s">
        <v>252</v>
      </c>
      <c r="D144" s="12" t="s">
        <v>247</v>
      </c>
      <c r="E144" s="11" t="s">
        <v>279</v>
      </c>
      <c r="F144" s="8" t="s">
        <v>3</v>
      </c>
      <c r="G144" s="2"/>
      <c r="H144" s="107">
        <v>33000000</v>
      </c>
      <c r="I144" s="9">
        <f t="shared" si="3"/>
        <v>36300000</v>
      </c>
      <c r="J144" s="9">
        <f t="shared" si="20"/>
        <v>39600000</v>
      </c>
      <c r="K144" s="9">
        <f t="shared" si="9"/>
        <v>42900000</v>
      </c>
    </row>
    <row r="145" spans="2:11" ht="208">
      <c r="B145" s="176" t="s">
        <v>264</v>
      </c>
      <c r="C145" s="15" t="s">
        <v>261</v>
      </c>
      <c r="D145" s="12" t="s">
        <v>260</v>
      </c>
      <c r="E145" s="11" t="s">
        <v>279</v>
      </c>
      <c r="F145" s="8"/>
      <c r="G145" s="2"/>
      <c r="H145" s="107">
        <v>42000000</v>
      </c>
      <c r="I145" s="9">
        <f t="shared" si="3"/>
        <v>46200000.000000007</v>
      </c>
      <c r="J145" s="9">
        <f t="shared" si="20"/>
        <v>50400000</v>
      </c>
      <c r="K145" s="9">
        <f t="shared" si="9"/>
        <v>54600000</v>
      </c>
    </row>
    <row r="146" spans="2:11" ht="208">
      <c r="B146" s="176"/>
      <c r="C146" s="15" t="s">
        <v>262</v>
      </c>
      <c r="D146" s="12" t="s">
        <v>248</v>
      </c>
      <c r="E146" s="11" t="s">
        <v>279</v>
      </c>
      <c r="F146" s="8" t="s">
        <v>3</v>
      </c>
      <c r="G146" s="2"/>
      <c r="H146" s="107">
        <v>47000000</v>
      </c>
      <c r="I146" s="9">
        <f t="shared" si="3"/>
        <v>51700000.000000007</v>
      </c>
      <c r="J146" s="9">
        <f t="shared" si="20"/>
        <v>56400000</v>
      </c>
      <c r="K146" s="9">
        <f t="shared" si="9"/>
        <v>61100000</v>
      </c>
    </row>
    <row r="147" spans="2:11" ht="208">
      <c r="B147" s="177"/>
      <c r="C147" s="15" t="s">
        <v>263</v>
      </c>
      <c r="D147" s="12" t="s">
        <v>249</v>
      </c>
      <c r="E147" s="11" t="s">
        <v>279</v>
      </c>
      <c r="F147" s="8" t="s">
        <v>3</v>
      </c>
      <c r="G147" s="2"/>
      <c r="H147" s="107">
        <v>53000000</v>
      </c>
      <c r="I147" s="9">
        <f t="shared" si="3"/>
        <v>58300000.000000007</v>
      </c>
      <c r="J147" s="9">
        <f t="shared" si="20"/>
        <v>63600000</v>
      </c>
      <c r="K147" s="9">
        <f t="shared" si="9"/>
        <v>68900000</v>
      </c>
    </row>
    <row r="148" spans="2:11" ht="176">
      <c r="B148" s="189" t="s">
        <v>346</v>
      </c>
      <c r="C148" s="15" t="s">
        <v>344</v>
      </c>
      <c r="D148" s="12" t="s">
        <v>345</v>
      </c>
      <c r="E148" s="11" t="s">
        <v>279</v>
      </c>
      <c r="F148" s="8" t="s">
        <v>3</v>
      </c>
      <c r="G148" s="2"/>
      <c r="H148" s="107">
        <v>102000000</v>
      </c>
      <c r="I148" s="9">
        <f t="shared" si="3"/>
        <v>112200000.00000001</v>
      </c>
      <c r="J148" s="9">
        <f t="shared" si="20"/>
        <v>122400000</v>
      </c>
      <c r="K148" s="9">
        <f t="shared" si="9"/>
        <v>132600000</v>
      </c>
    </row>
    <row r="149" spans="2:11" ht="176">
      <c r="B149" s="190"/>
      <c r="C149" s="15" t="s">
        <v>343</v>
      </c>
      <c r="D149" s="12" t="s">
        <v>342</v>
      </c>
      <c r="E149" s="11" t="s">
        <v>279</v>
      </c>
      <c r="F149" s="8" t="s">
        <v>3</v>
      </c>
      <c r="G149" s="2"/>
      <c r="H149" s="107">
        <v>110000000</v>
      </c>
      <c r="I149" s="9">
        <f t="shared" si="3"/>
        <v>121000000.00000001</v>
      </c>
      <c r="J149" s="9">
        <f t="shared" si="20"/>
        <v>132000000</v>
      </c>
      <c r="K149" s="9">
        <f t="shared" si="9"/>
        <v>143000000</v>
      </c>
    </row>
    <row r="150" spans="2:11" ht="208">
      <c r="B150" s="181" t="s">
        <v>348</v>
      </c>
      <c r="C150" s="15" t="s">
        <v>307</v>
      </c>
      <c r="D150" s="12" t="s">
        <v>253</v>
      </c>
      <c r="E150" s="11" t="s">
        <v>279</v>
      </c>
      <c r="F150" s="8" t="s">
        <v>3</v>
      </c>
      <c r="G150" s="2"/>
      <c r="H150" s="107">
        <v>50000000</v>
      </c>
      <c r="I150" s="9">
        <f t="shared" si="3"/>
        <v>55000000.000000007</v>
      </c>
      <c r="J150" s="9">
        <f t="shared" si="20"/>
        <v>60000000</v>
      </c>
      <c r="K150" s="9">
        <f t="shared" si="9"/>
        <v>65000000</v>
      </c>
    </row>
    <row r="151" spans="2:11" ht="208">
      <c r="B151" s="182"/>
      <c r="C151" s="15" t="s">
        <v>308</v>
      </c>
      <c r="D151" s="12" t="s">
        <v>254</v>
      </c>
      <c r="E151" s="11" t="s">
        <v>279</v>
      </c>
      <c r="F151" s="8" t="s">
        <v>3</v>
      </c>
      <c r="G151" s="2"/>
      <c r="H151" s="107">
        <v>39100000</v>
      </c>
      <c r="I151" s="9">
        <f t="shared" si="3"/>
        <v>43010000</v>
      </c>
      <c r="J151" s="9">
        <f t="shared" si="20"/>
        <v>46920000</v>
      </c>
      <c r="K151" s="9">
        <f t="shared" si="9"/>
        <v>50830000</v>
      </c>
    </row>
    <row r="152" spans="2:11" ht="144">
      <c r="B152" s="171" t="s">
        <v>347</v>
      </c>
      <c r="C152" s="15" t="s">
        <v>349</v>
      </c>
      <c r="D152" s="12" t="s">
        <v>350</v>
      </c>
      <c r="E152" s="11" t="s">
        <v>279</v>
      </c>
      <c r="F152" s="8" t="s">
        <v>3</v>
      </c>
      <c r="G152" s="2"/>
      <c r="H152" s="107">
        <v>22000000</v>
      </c>
      <c r="I152" s="9">
        <f t="shared" si="3"/>
        <v>24200000.000000004</v>
      </c>
      <c r="J152" s="9">
        <f t="shared" si="20"/>
        <v>26400000</v>
      </c>
      <c r="K152" s="9">
        <f t="shared" si="9"/>
        <v>28600000</v>
      </c>
    </row>
    <row r="153" spans="2:11" ht="192">
      <c r="B153" s="172"/>
      <c r="C153" s="15" t="s">
        <v>352</v>
      </c>
      <c r="D153" s="12" t="s">
        <v>351</v>
      </c>
      <c r="E153" s="11" t="s">
        <v>279</v>
      </c>
      <c r="F153" s="8" t="s">
        <v>3</v>
      </c>
      <c r="G153" s="2"/>
      <c r="H153" s="107">
        <v>50800000</v>
      </c>
      <c r="I153" s="9">
        <f t="shared" si="3"/>
        <v>55880000.000000007</v>
      </c>
      <c r="J153" s="9">
        <f t="shared" si="20"/>
        <v>60960000</v>
      </c>
      <c r="K153" s="9">
        <f t="shared" si="9"/>
        <v>66040000</v>
      </c>
    </row>
    <row r="154" spans="2:11" ht="51">
      <c r="B154" s="217" t="s">
        <v>73</v>
      </c>
      <c r="C154" s="218"/>
      <c r="D154" s="218"/>
      <c r="E154" s="218"/>
      <c r="F154" s="114"/>
      <c r="G154" s="114"/>
      <c r="H154" s="114"/>
      <c r="I154" s="114"/>
      <c r="J154" s="131"/>
      <c r="K154" s="138"/>
    </row>
    <row r="155" spans="2:11" ht="160">
      <c r="B155" s="17">
        <v>1</v>
      </c>
      <c r="C155" s="15" t="s">
        <v>37</v>
      </c>
      <c r="D155" s="12" t="s">
        <v>43</v>
      </c>
      <c r="E155" s="11" t="s">
        <v>180</v>
      </c>
      <c r="F155" s="8" t="s">
        <v>3</v>
      </c>
      <c r="G155" s="2"/>
      <c r="H155" s="107">
        <v>17500000</v>
      </c>
      <c r="I155" s="9">
        <f t="shared" si="3"/>
        <v>19250000</v>
      </c>
      <c r="J155" s="9">
        <f t="shared" si="20"/>
        <v>21000000</v>
      </c>
      <c r="K155" s="9">
        <f t="shared" si="9"/>
        <v>22750000</v>
      </c>
    </row>
    <row r="156" spans="2:11" ht="160">
      <c r="B156" s="17">
        <f t="shared" si="7"/>
        <v>2</v>
      </c>
      <c r="C156" s="15" t="s">
        <v>38</v>
      </c>
      <c r="D156" s="12" t="s">
        <v>139</v>
      </c>
      <c r="E156" s="11" t="s">
        <v>180</v>
      </c>
      <c r="F156" s="8" t="s">
        <v>3</v>
      </c>
      <c r="G156" s="2"/>
      <c r="H156" s="107">
        <v>18000000</v>
      </c>
      <c r="I156" s="9">
        <f t="shared" si="3"/>
        <v>19800000</v>
      </c>
      <c r="J156" s="9">
        <f t="shared" si="20"/>
        <v>21600000</v>
      </c>
      <c r="K156" s="9">
        <f t="shared" si="9"/>
        <v>23400000</v>
      </c>
    </row>
    <row r="157" spans="2:11" ht="160">
      <c r="B157" s="17">
        <f t="shared" si="7"/>
        <v>3</v>
      </c>
      <c r="C157" s="15" t="s">
        <v>55</v>
      </c>
      <c r="D157" s="12" t="s">
        <v>58</v>
      </c>
      <c r="E157" s="11" t="s">
        <v>180</v>
      </c>
      <c r="F157" s="8" t="s">
        <v>3</v>
      </c>
      <c r="G157" s="2"/>
      <c r="H157" s="107">
        <v>26000000</v>
      </c>
      <c r="I157" s="9">
        <f t="shared" si="3"/>
        <v>28600000.000000004</v>
      </c>
      <c r="J157" s="9">
        <f t="shared" si="20"/>
        <v>31200000</v>
      </c>
      <c r="K157" s="9">
        <f t="shared" si="9"/>
        <v>33800000</v>
      </c>
    </row>
    <row r="158" spans="2:11" ht="160">
      <c r="B158" s="17">
        <f t="shared" si="7"/>
        <v>4</v>
      </c>
      <c r="C158" s="15" t="s">
        <v>56</v>
      </c>
      <c r="D158" s="12" t="s">
        <v>140</v>
      </c>
      <c r="E158" s="11" t="s">
        <v>180</v>
      </c>
      <c r="F158" s="8" t="s">
        <v>3</v>
      </c>
      <c r="G158" s="2"/>
      <c r="H158" s="107">
        <v>27800000</v>
      </c>
      <c r="I158" s="9">
        <f t="shared" si="3"/>
        <v>30580000.000000004</v>
      </c>
      <c r="J158" s="9">
        <f t="shared" si="20"/>
        <v>33360000</v>
      </c>
      <c r="K158" s="9">
        <f t="shared" si="9"/>
        <v>36140000</v>
      </c>
    </row>
    <row r="159" spans="2:11" ht="160">
      <c r="B159" s="17">
        <f t="shared" si="7"/>
        <v>5</v>
      </c>
      <c r="C159" s="15" t="s">
        <v>57</v>
      </c>
      <c r="D159" s="12" t="s">
        <v>141</v>
      </c>
      <c r="E159" s="11" t="s">
        <v>180</v>
      </c>
      <c r="F159" s="8" t="s">
        <v>3</v>
      </c>
      <c r="G159" s="2"/>
      <c r="H159" s="107">
        <v>30000000</v>
      </c>
      <c r="I159" s="9">
        <f t="shared" si="3"/>
        <v>33000000.000000004</v>
      </c>
      <c r="J159" s="9">
        <f t="shared" si="20"/>
        <v>36000000</v>
      </c>
      <c r="K159" s="9">
        <f t="shared" si="9"/>
        <v>39000000</v>
      </c>
    </row>
    <row r="160" spans="2:11" ht="208">
      <c r="B160" s="223" t="s">
        <v>230</v>
      </c>
      <c r="C160" s="15" t="s">
        <v>227</v>
      </c>
      <c r="D160" s="12" t="s">
        <v>232</v>
      </c>
      <c r="E160" s="11" t="s">
        <v>180</v>
      </c>
      <c r="F160" s="8" t="s">
        <v>3</v>
      </c>
      <c r="G160" s="2"/>
      <c r="H160" s="107">
        <v>42000000</v>
      </c>
      <c r="I160" s="9">
        <f t="shared" si="3"/>
        <v>46200000.000000007</v>
      </c>
      <c r="J160" s="9">
        <f t="shared" si="20"/>
        <v>50400000</v>
      </c>
      <c r="K160" s="9">
        <f t="shared" si="9"/>
        <v>54600000</v>
      </c>
    </row>
    <row r="161" spans="2:11" ht="208">
      <c r="B161" s="224"/>
      <c r="C161" s="15" t="s">
        <v>228</v>
      </c>
      <c r="D161" s="12" t="s">
        <v>231</v>
      </c>
      <c r="E161" s="11" t="s">
        <v>180</v>
      </c>
      <c r="F161" s="8" t="s">
        <v>3</v>
      </c>
      <c r="G161" s="2"/>
      <c r="H161" s="107">
        <v>45500000</v>
      </c>
      <c r="I161" s="9">
        <f t="shared" si="3"/>
        <v>50050000.000000007</v>
      </c>
      <c r="J161" s="9">
        <f t="shared" si="20"/>
        <v>54600000</v>
      </c>
      <c r="K161" s="9">
        <f t="shared" si="9"/>
        <v>59150000</v>
      </c>
    </row>
    <row r="162" spans="2:11" ht="208">
      <c r="B162" s="225"/>
      <c r="C162" s="15" t="s">
        <v>229</v>
      </c>
      <c r="D162" s="12" t="s">
        <v>233</v>
      </c>
      <c r="E162" s="11" t="s">
        <v>180</v>
      </c>
      <c r="F162" s="8" t="s">
        <v>3</v>
      </c>
      <c r="G162" s="2"/>
      <c r="H162" s="107">
        <v>50000000</v>
      </c>
      <c r="I162" s="9">
        <f t="shared" si="3"/>
        <v>55000000.000000007</v>
      </c>
      <c r="J162" s="9">
        <f t="shared" si="20"/>
        <v>60000000</v>
      </c>
      <c r="K162" s="9">
        <f t="shared" si="9"/>
        <v>65000000</v>
      </c>
    </row>
    <row r="163" spans="2:11" ht="176">
      <c r="B163" s="26" t="s">
        <v>116</v>
      </c>
      <c r="C163" s="15" t="s">
        <v>117</v>
      </c>
      <c r="D163" s="12" t="s">
        <v>118</v>
      </c>
      <c r="E163" s="11" t="s">
        <v>180</v>
      </c>
      <c r="F163" s="18" t="s">
        <v>3</v>
      </c>
      <c r="G163" s="18"/>
      <c r="H163" s="107">
        <v>18900000</v>
      </c>
      <c r="I163" s="74">
        <f t="shared" ref="I163:I185" si="21">H163*1.1</f>
        <v>20790000</v>
      </c>
      <c r="J163" s="74">
        <f t="shared" ref="J163:J185" si="22">H163*1.2</f>
        <v>22680000</v>
      </c>
      <c r="K163" s="74">
        <f t="shared" ref="K163:K185" si="23">H163*1.3</f>
        <v>24570000</v>
      </c>
    </row>
    <row r="164" spans="2:11" ht="240">
      <c r="B164" s="119"/>
      <c r="C164" s="15" t="s">
        <v>384</v>
      </c>
      <c r="D164" s="12" t="s">
        <v>385</v>
      </c>
      <c r="E164" s="11" t="s">
        <v>180</v>
      </c>
      <c r="F164" s="18" t="s">
        <v>3</v>
      </c>
      <c r="G164" s="18"/>
      <c r="H164" s="107">
        <v>50000000</v>
      </c>
      <c r="I164" s="74">
        <f t="shared" si="21"/>
        <v>55000000.000000007</v>
      </c>
      <c r="J164" s="74">
        <f t="shared" si="22"/>
        <v>60000000</v>
      </c>
      <c r="K164" s="74">
        <f t="shared" si="23"/>
        <v>65000000</v>
      </c>
    </row>
    <row r="165" spans="2:11" ht="144">
      <c r="B165" s="219" t="s">
        <v>88</v>
      </c>
      <c r="C165" s="15" t="s">
        <v>60</v>
      </c>
      <c r="D165" s="12" t="s">
        <v>61</v>
      </c>
      <c r="E165" s="11" t="s">
        <v>180</v>
      </c>
      <c r="F165" s="18" t="s">
        <v>3</v>
      </c>
      <c r="G165" s="18"/>
      <c r="H165" s="107">
        <v>32500000</v>
      </c>
      <c r="I165" s="9">
        <f t="shared" si="21"/>
        <v>35750000</v>
      </c>
      <c r="J165" s="74">
        <f t="shared" si="22"/>
        <v>39000000</v>
      </c>
      <c r="K165" s="74">
        <f t="shared" si="23"/>
        <v>42250000</v>
      </c>
    </row>
    <row r="166" spans="2:11" ht="144">
      <c r="B166" s="220"/>
      <c r="C166" s="15" t="s">
        <v>62</v>
      </c>
      <c r="D166" s="12" t="s">
        <v>64</v>
      </c>
      <c r="E166" s="11" t="s">
        <v>180</v>
      </c>
      <c r="F166" s="18" t="s">
        <v>3</v>
      </c>
      <c r="G166" s="18"/>
      <c r="H166" s="107">
        <v>56000000</v>
      </c>
      <c r="I166" s="74">
        <f t="shared" si="21"/>
        <v>61600000.000000007</v>
      </c>
      <c r="J166" s="74">
        <f t="shared" si="22"/>
        <v>67200000</v>
      </c>
      <c r="K166" s="74">
        <f t="shared" si="23"/>
        <v>72800000</v>
      </c>
    </row>
    <row r="167" spans="2:11" ht="144">
      <c r="B167" s="220"/>
      <c r="C167" s="15" t="s">
        <v>63</v>
      </c>
      <c r="D167" s="12" t="s">
        <v>65</v>
      </c>
      <c r="E167" s="11" t="s">
        <v>180</v>
      </c>
      <c r="F167" s="18" t="s">
        <v>3</v>
      </c>
      <c r="G167" s="18"/>
      <c r="H167" s="107">
        <v>59000000</v>
      </c>
      <c r="I167" s="74">
        <f t="shared" si="21"/>
        <v>64900000.000000007</v>
      </c>
      <c r="J167" s="74">
        <f t="shared" si="22"/>
        <v>70800000</v>
      </c>
      <c r="K167" s="74">
        <f t="shared" si="23"/>
        <v>76700000</v>
      </c>
    </row>
    <row r="168" spans="2:11" ht="144">
      <c r="B168" s="220"/>
      <c r="C168" s="15" t="s">
        <v>119</v>
      </c>
      <c r="D168" s="12" t="s">
        <v>217</v>
      </c>
      <c r="E168" s="11" t="s">
        <v>180</v>
      </c>
      <c r="F168" s="18" t="s">
        <v>3</v>
      </c>
      <c r="G168" s="18"/>
      <c r="H168" s="107">
        <v>73000000</v>
      </c>
      <c r="I168" s="74">
        <f t="shared" si="21"/>
        <v>80300000</v>
      </c>
      <c r="J168" s="74">
        <f t="shared" si="22"/>
        <v>87600000</v>
      </c>
      <c r="K168" s="74">
        <f t="shared" si="23"/>
        <v>94900000</v>
      </c>
    </row>
    <row r="169" spans="2:11" ht="192">
      <c r="B169" s="165"/>
      <c r="C169" s="15" t="s">
        <v>377</v>
      </c>
      <c r="D169" s="12" t="s">
        <v>378</v>
      </c>
      <c r="E169" s="11" t="s">
        <v>180</v>
      </c>
      <c r="F169" s="18" t="s">
        <v>3</v>
      </c>
      <c r="G169" s="18"/>
      <c r="H169" s="107">
        <v>99000000</v>
      </c>
      <c r="I169" s="74">
        <f t="shared" si="21"/>
        <v>108900000.00000001</v>
      </c>
      <c r="J169" s="74">
        <f t="shared" si="22"/>
        <v>118800000</v>
      </c>
      <c r="K169" s="74">
        <f t="shared" si="23"/>
        <v>128700000</v>
      </c>
    </row>
    <row r="170" spans="2:11" ht="192">
      <c r="B170" s="165"/>
      <c r="C170" s="15" t="s">
        <v>379</v>
      </c>
      <c r="D170" s="12" t="s">
        <v>380</v>
      </c>
      <c r="E170" s="11" t="s">
        <v>180</v>
      </c>
      <c r="F170" s="18" t="s">
        <v>3</v>
      </c>
      <c r="G170" s="18"/>
      <c r="H170" s="107">
        <v>103000000</v>
      </c>
      <c r="I170" s="74">
        <f t="shared" si="21"/>
        <v>113300000.00000001</v>
      </c>
      <c r="J170" s="74">
        <f t="shared" si="22"/>
        <v>123600000</v>
      </c>
      <c r="K170" s="74">
        <f t="shared" si="23"/>
        <v>133900000</v>
      </c>
    </row>
    <row r="171" spans="2:11" ht="144">
      <c r="B171" s="219" t="s">
        <v>89</v>
      </c>
      <c r="C171" s="15" t="s">
        <v>157</v>
      </c>
      <c r="D171" s="12" t="s">
        <v>156</v>
      </c>
      <c r="E171" s="11" t="s">
        <v>180</v>
      </c>
      <c r="F171" s="18" t="s">
        <v>3</v>
      </c>
      <c r="G171" s="18"/>
      <c r="H171" s="107">
        <v>31000000</v>
      </c>
      <c r="I171" s="73">
        <f t="shared" si="21"/>
        <v>34100000</v>
      </c>
      <c r="J171" s="74">
        <f t="shared" si="22"/>
        <v>37200000</v>
      </c>
      <c r="K171" s="74">
        <f t="shared" si="23"/>
        <v>40300000</v>
      </c>
    </row>
    <row r="172" spans="2:11" ht="160">
      <c r="B172" s="221"/>
      <c r="C172" s="15" t="s">
        <v>159</v>
      </c>
      <c r="D172" s="12" t="s">
        <v>158</v>
      </c>
      <c r="E172" s="11" t="s">
        <v>180</v>
      </c>
      <c r="F172" s="18" t="s">
        <v>3</v>
      </c>
      <c r="G172" s="18"/>
      <c r="H172" s="107">
        <v>240000000</v>
      </c>
      <c r="I172" s="74">
        <f t="shared" si="21"/>
        <v>264000000.00000003</v>
      </c>
      <c r="J172" s="74">
        <f t="shared" si="22"/>
        <v>288000000</v>
      </c>
      <c r="K172" s="74">
        <f t="shared" si="23"/>
        <v>312000000</v>
      </c>
    </row>
    <row r="173" spans="2:11" ht="160">
      <c r="B173" s="221"/>
      <c r="C173" s="15" t="s">
        <v>160</v>
      </c>
      <c r="D173" s="12" t="s">
        <v>161</v>
      </c>
      <c r="E173" s="11" t="s">
        <v>180</v>
      </c>
      <c r="F173" s="18" t="s">
        <v>3</v>
      </c>
      <c r="G173" s="18"/>
      <c r="H173" s="107">
        <v>262000000</v>
      </c>
      <c r="I173" s="74">
        <f t="shared" si="21"/>
        <v>288200000</v>
      </c>
      <c r="J173" s="74">
        <f t="shared" si="22"/>
        <v>314400000</v>
      </c>
      <c r="K173" s="74">
        <f t="shared" si="23"/>
        <v>340600000</v>
      </c>
    </row>
    <row r="174" spans="2:11">
      <c r="B174" s="221"/>
      <c r="C174" s="15" t="s">
        <v>66</v>
      </c>
      <c r="D174" s="12"/>
      <c r="E174" s="11" t="s">
        <v>180</v>
      </c>
      <c r="F174" s="18" t="s">
        <v>3</v>
      </c>
      <c r="G174" s="18"/>
      <c r="H174" s="107">
        <v>160000000</v>
      </c>
      <c r="I174" s="74">
        <f t="shared" si="21"/>
        <v>176000000</v>
      </c>
      <c r="J174" s="74">
        <f t="shared" si="22"/>
        <v>192000000</v>
      </c>
      <c r="K174" s="74">
        <f t="shared" si="23"/>
        <v>208000000</v>
      </c>
    </row>
    <row r="175" spans="2:11">
      <c r="B175" s="221"/>
      <c r="C175" s="15" t="s">
        <v>67</v>
      </c>
      <c r="D175" s="12"/>
      <c r="E175" s="11" t="s">
        <v>180</v>
      </c>
      <c r="F175" s="18" t="s">
        <v>3</v>
      </c>
      <c r="G175" s="18"/>
      <c r="H175" s="107">
        <v>183500000</v>
      </c>
      <c r="I175" s="74">
        <f t="shared" si="21"/>
        <v>201850000.00000003</v>
      </c>
      <c r="J175" s="74">
        <f t="shared" si="22"/>
        <v>220200000</v>
      </c>
      <c r="K175" s="74">
        <f t="shared" si="23"/>
        <v>238550000</v>
      </c>
    </row>
    <row r="176" spans="2:11">
      <c r="B176" s="221"/>
      <c r="C176" s="15" t="s">
        <v>68</v>
      </c>
      <c r="D176" s="12"/>
      <c r="E176" s="11" t="s">
        <v>180</v>
      </c>
      <c r="F176" s="18" t="s">
        <v>3</v>
      </c>
      <c r="G176" s="18"/>
      <c r="H176" s="107">
        <v>207500000</v>
      </c>
      <c r="I176" s="74">
        <f t="shared" si="21"/>
        <v>228250000.00000003</v>
      </c>
      <c r="J176" s="74">
        <f t="shared" si="22"/>
        <v>249000000</v>
      </c>
      <c r="K176" s="74">
        <f t="shared" si="23"/>
        <v>269750000</v>
      </c>
    </row>
    <row r="177" spans="2:11">
      <c r="B177" s="222"/>
      <c r="C177" s="15" t="s">
        <v>69</v>
      </c>
      <c r="D177" s="12"/>
      <c r="E177" s="11" t="s">
        <v>180</v>
      </c>
      <c r="F177" s="18" t="s">
        <v>3</v>
      </c>
      <c r="G177" s="18"/>
      <c r="H177" s="107">
        <v>231500000</v>
      </c>
      <c r="I177" s="74">
        <f t="shared" si="21"/>
        <v>254650000.00000003</v>
      </c>
      <c r="J177" s="74">
        <f t="shared" si="22"/>
        <v>277800000</v>
      </c>
      <c r="K177" s="74">
        <f t="shared" si="23"/>
        <v>300950000</v>
      </c>
    </row>
    <row r="178" spans="2:11" ht="96">
      <c r="B178" s="83"/>
      <c r="C178" s="15" t="s">
        <v>144</v>
      </c>
      <c r="D178" s="12" t="s">
        <v>143</v>
      </c>
      <c r="E178" s="11" t="s">
        <v>180</v>
      </c>
      <c r="F178" s="18" t="s">
        <v>3</v>
      </c>
      <c r="G178" s="18"/>
      <c r="H178" s="107">
        <v>235000000</v>
      </c>
      <c r="I178" s="74">
        <f t="shared" si="21"/>
        <v>258500000.00000003</v>
      </c>
      <c r="J178" s="74">
        <f t="shared" si="22"/>
        <v>282000000</v>
      </c>
      <c r="K178" s="74">
        <f t="shared" si="23"/>
        <v>305500000</v>
      </c>
    </row>
    <row r="179" spans="2:11" ht="128">
      <c r="B179" s="83"/>
      <c r="C179" s="15" t="s">
        <v>146</v>
      </c>
      <c r="D179" s="12" t="s">
        <v>145</v>
      </c>
      <c r="E179" s="11" t="s">
        <v>180</v>
      </c>
      <c r="F179" s="18" t="s">
        <v>3</v>
      </c>
      <c r="G179" s="18"/>
      <c r="H179" s="107">
        <v>18000000</v>
      </c>
      <c r="I179" s="74">
        <f t="shared" si="21"/>
        <v>19800000</v>
      </c>
      <c r="J179" s="74">
        <f t="shared" si="22"/>
        <v>21600000</v>
      </c>
      <c r="K179" s="74">
        <f t="shared" si="23"/>
        <v>23400000</v>
      </c>
    </row>
    <row r="180" spans="2:11" ht="128">
      <c r="B180" s="83"/>
      <c r="C180" s="15" t="s">
        <v>375</v>
      </c>
      <c r="D180" s="12" t="s">
        <v>376</v>
      </c>
      <c r="E180" s="11" t="s">
        <v>180</v>
      </c>
      <c r="F180" s="18" t="s">
        <v>3</v>
      </c>
      <c r="G180" s="18"/>
      <c r="H180" s="107">
        <v>40000000</v>
      </c>
      <c r="I180" s="74">
        <f t="shared" si="21"/>
        <v>44000000</v>
      </c>
      <c r="J180" s="74">
        <f t="shared" si="22"/>
        <v>48000000</v>
      </c>
      <c r="K180" s="74">
        <f t="shared" si="23"/>
        <v>52000000</v>
      </c>
    </row>
    <row r="181" spans="2:11" ht="51">
      <c r="B181" s="228" t="s">
        <v>237</v>
      </c>
      <c r="C181" s="228"/>
      <c r="D181" s="228"/>
      <c r="E181" s="228"/>
      <c r="F181" s="228"/>
      <c r="G181" s="228"/>
      <c r="H181" s="122"/>
      <c r="I181" s="74">
        <f t="shared" si="21"/>
        <v>0</v>
      </c>
      <c r="J181" s="74">
        <f t="shared" si="22"/>
        <v>0</v>
      </c>
      <c r="K181" s="74">
        <f t="shared" si="23"/>
        <v>0</v>
      </c>
    </row>
    <row r="182" spans="2:11" ht="112">
      <c r="B182" s="121"/>
      <c r="C182" s="15" t="s">
        <v>238</v>
      </c>
      <c r="D182" s="12" t="s">
        <v>242</v>
      </c>
      <c r="E182" s="11" t="s">
        <v>241</v>
      </c>
      <c r="F182" s="18" t="s">
        <v>3</v>
      </c>
      <c r="G182" s="18"/>
      <c r="H182" s="107">
        <v>130000000</v>
      </c>
      <c r="I182" s="74">
        <f t="shared" si="21"/>
        <v>143000000</v>
      </c>
      <c r="J182" s="74">
        <f t="shared" si="22"/>
        <v>156000000</v>
      </c>
      <c r="K182" s="74">
        <f t="shared" si="23"/>
        <v>169000000</v>
      </c>
    </row>
    <row r="183" spans="2:11" ht="112">
      <c r="B183" s="121"/>
      <c r="C183" s="15" t="s">
        <v>239</v>
      </c>
      <c r="D183" s="12" t="s">
        <v>243</v>
      </c>
      <c r="E183" s="11" t="s">
        <v>241</v>
      </c>
      <c r="F183" s="18" t="s">
        <v>3</v>
      </c>
      <c r="G183" s="18"/>
      <c r="H183" s="107">
        <v>140000000</v>
      </c>
      <c r="I183" s="74">
        <f t="shared" si="21"/>
        <v>154000000</v>
      </c>
      <c r="J183" s="74">
        <f t="shared" si="22"/>
        <v>168000000</v>
      </c>
      <c r="K183" s="74">
        <f t="shared" si="23"/>
        <v>182000000</v>
      </c>
    </row>
    <row r="184" spans="2:11" ht="128">
      <c r="B184" s="121"/>
      <c r="C184" s="15" t="s">
        <v>296</v>
      </c>
      <c r="D184" s="12" t="s">
        <v>297</v>
      </c>
      <c r="E184" s="11" t="s">
        <v>241</v>
      </c>
      <c r="F184" s="18" t="s">
        <v>3</v>
      </c>
      <c r="G184" s="18"/>
      <c r="H184" s="107">
        <v>28000000</v>
      </c>
      <c r="I184" s="74">
        <f t="shared" si="21"/>
        <v>30800000.000000004</v>
      </c>
      <c r="J184" s="74">
        <f t="shared" si="22"/>
        <v>33600000</v>
      </c>
      <c r="K184" s="74">
        <f t="shared" si="23"/>
        <v>36400000</v>
      </c>
    </row>
    <row r="185" spans="2:11" ht="48">
      <c r="B185" s="121"/>
      <c r="C185" s="15" t="s">
        <v>240</v>
      </c>
      <c r="D185" s="12" t="s">
        <v>244</v>
      </c>
      <c r="E185" s="11" t="s">
        <v>241</v>
      </c>
      <c r="F185" s="18" t="s">
        <v>3</v>
      </c>
      <c r="G185" s="18"/>
      <c r="H185" s="107">
        <v>65000000</v>
      </c>
      <c r="I185" s="74">
        <f t="shared" si="21"/>
        <v>71500000</v>
      </c>
      <c r="J185" s="74">
        <f t="shared" si="22"/>
        <v>78000000</v>
      </c>
      <c r="K185" s="74">
        <f t="shared" si="23"/>
        <v>84500000</v>
      </c>
    </row>
  </sheetData>
  <mergeCells count="36">
    <mergeCell ref="B71:D71"/>
    <mergeCell ref="B78:E78"/>
    <mergeCell ref="B91:E91"/>
    <mergeCell ref="B154:E154"/>
    <mergeCell ref="B136:E136"/>
    <mergeCell ref="B165:B168"/>
    <mergeCell ref="B171:B177"/>
    <mergeCell ref="B160:B162"/>
    <mergeCell ref="B79:B83"/>
    <mergeCell ref="B125:B132"/>
    <mergeCell ref="B181:G181"/>
    <mergeCell ref="B1:E1"/>
    <mergeCell ref="B38:B39"/>
    <mergeCell ref="B44:B45"/>
    <mergeCell ref="B41:B43"/>
    <mergeCell ref="B40:G40"/>
    <mergeCell ref="B24:B25"/>
    <mergeCell ref="B22:B23"/>
    <mergeCell ref="C30:H30"/>
    <mergeCell ref="B16:B21"/>
    <mergeCell ref="B27:F27"/>
    <mergeCell ref="B28:B29"/>
    <mergeCell ref="B36:B37"/>
    <mergeCell ref="B35:E35"/>
    <mergeCell ref="B11:B15"/>
    <mergeCell ref="B49:K49"/>
    <mergeCell ref="B113:B115"/>
    <mergeCell ref="B108:B112"/>
    <mergeCell ref="B148:B149"/>
    <mergeCell ref="B10:E10"/>
    <mergeCell ref="B152:B153"/>
    <mergeCell ref="B84:B88"/>
    <mergeCell ref="B145:B147"/>
    <mergeCell ref="B140:B144"/>
    <mergeCell ref="B139:E139"/>
    <mergeCell ref="B150:B151"/>
  </mergeCells>
  <phoneticPr fontId="9" type="noConversion"/>
  <conditionalFormatting sqref="D54:D60">
    <cfRule type="duplicateValues" dxfId="0" priority="3"/>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Bảng giá tổng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Ngoc Phu</dc:creator>
  <cp:lastModifiedBy>Hữu Đức Tô</cp:lastModifiedBy>
  <cp:lastPrinted>2026-08-27T02:55:18Z</cp:lastPrinted>
  <dcterms:created xsi:type="dcterms:W3CDTF">2022-12-04T14:09:40Z</dcterms:created>
  <dcterms:modified xsi:type="dcterms:W3CDTF">2026-08-27T03:10:36Z</dcterms:modified>
</cp:coreProperties>
</file>